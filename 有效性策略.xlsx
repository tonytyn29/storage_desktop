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Sheet1!$U$1:$U$102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<sst xmlns="http://schemas.openxmlformats.org/spreadsheetml/2006/main" count="619" uniqueCount="156">
  <si>
    <t>策略名称</t>
  </si>
  <si>
    <t>类型</t>
  </si>
  <si>
    <t>回测状态</t>
  </si>
  <si>
    <t>AI分析</t>
  </si>
  <si>
    <t>策略收益</t>
  </si>
  <si>
    <t>年化收益</t>
  </si>
  <si>
    <t>夏普比率</t>
  </si>
  <si>
    <t>最大回撤</t>
  </si>
  <si>
    <t>胜率</t>
  </si>
  <si>
    <t>未来函数</t>
  </si>
  <si>
    <t>滑点</t>
  </si>
  <si>
    <t>执行难度</t>
  </si>
  <si>
    <t>大资金不友好</t>
  </si>
  <si>
    <t>行为偏差利用</t>
  </si>
  <si>
    <t>跨阶段稳健性</t>
  </si>
  <si>
    <t>有效性总分</t>
  </si>
  <si>
    <t>总分</t>
  </si>
  <si>
    <t>详情</t>
  </si>
  <si>
    <t>操作</t>
  </si>
  <si>
    <t>中小市值周度轮动+涨停择时</t>
  </si>
  <si>
    <t>小市值轮动</t>
  </si>
  <si>
    <t>成功</t>
  </si>
  <si>
    <t>有</t>
  </si>
  <si>
    <t>查看详情</t>
  </si>
  <si>
    <t>删除</t>
  </si>
  <si>
    <t>国九小市值红利轮动</t>
  </si>
  <si>
    <t>多因子小市值轮动</t>
  </si>
  <si>
    <t>国九小市值轮动</t>
  </si>
  <si>
    <t>小市值轮动 + 基本面过滤</t>
  </si>
  <si>
    <t>小市值轮动止盈止损策略</t>
  </si>
  <si>
    <t>三组线性因子小盘精选</t>
  </si>
  <si>
    <t>多因子选股 + 小市值轮动</t>
  </si>
  <si>
    <t>三组合轮动-基本面白马+ETF趋势+小市值挖掘</t>
  </si>
  <si>
    <t>多策略组合（基本面多因子 + ETF动量趋势 + 小市值轮动）</t>
  </si>
  <si>
    <t>ST弱转强时点轮动</t>
  </si>
  <si>
    <t>事件驱动 + 短线动量</t>
  </si>
  <si>
    <t>中小盘财务过滤+动态仓位轮动</t>
  </si>
  <si>
    <t>多因子选股 + 动量/情绪 + 简易资产配置</t>
  </si>
  <si>
    <t>月初8只小盘成长因子轮动</t>
  </si>
  <si>
    <t>多因子选股</t>
  </si>
  <si>
    <t>周调小盘多因子</t>
  </si>
  <si>
    <t>ETF折溢价日内套利</t>
  </si>
  <si>
    <t>套利策略（均值回归）</t>
  </si>
  <si>
    <t>单票MACD满仓进出</t>
  </si>
  <si>
    <t>趋势跟踪</t>
  </si>
  <si>
    <t>非大盘权重回避+小盘成长轮动</t>
  </si>
  <si>
    <t>行业宽度+基本面过滤的动量/小市值轮动</t>
  </si>
  <si>
    <t>小市值多因子周调组合</t>
  </si>
  <si>
    <t>高股息低价小盘月度轮动</t>
  </si>
  <si>
    <t>周调多因子小市值精选</t>
  </si>
  <si>
    <t>RSRS择时 + SVR基本面低估选股</t>
  </si>
  <si>
    <t>多因子选股 + 趋势择时</t>
  </si>
  <si>
    <t>RSRS择时 + SVR中小板价值残差选股</t>
  </si>
  <si>
    <t>多因子选股+趋势择时</t>
  </si>
  <si>
    <t>单票大市值PB&lt;1价值轮动</t>
  </si>
  <si>
    <t>高分红高PE高增长小市值周度轮动</t>
  </si>
  <si>
    <t>小市值高成长周调组合</t>
  </si>
  <si>
    <t>小市值逆向因子+涨停博弈</t>
  </si>
  <si>
    <t>多因子选股 / 小市值轮动</t>
  </si>
  <si>
    <t>小市值因子轮动</t>
  </si>
  <si>
    <t>微小市值逆势五因子轮动</t>
  </si>
  <si>
    <t>高股息小市值低价月轮动</t>
  </si>
  <si>
    <t>大小盘+多因子月度轮动</t>
  </si>
  <si>
    <t>多因子选股 + 小/大市值轮动</t>
  </si>
  <si>
    <t>小市值价值筛选+RSI择时</t>
  </si>
  <si>
    <t>周度多因子小市值轮动</t>
  </si>
  <si>
    <t>高增小市值PEG轮动</t>
  </si>
  <si>
    <t>多因子选股+小市值轮动</t>
  </si>
  <si>
    <t>小市值高增轮动</t>
  </si>
  <si>
    <t>小市值优质轮动+闲置资金ETF</t>
  </si>
  <si>
    <t>小市值轮动 / 简易基本面筛选</t>
  </si>
  <si>
    <t>微盘小市值100等权</t>
  </si>
  <si>
    <t>ETF动量-RSRS轮动</t>
  </si>
  <si>
    <t>动量策略</t>
  </si>
  <si>
    <t>ETF动量+RSRS单票轮动</t>
  </si>
  <si>
    <t>铁矿石月移仓多头均线CTA</t>
  </si>
  <si>
    <t>四支ETF动量轮动</t>
  </si>
  <si>
    <t>四支ETF安全动量单轮动</t>
  </si>
  <si>
    <t>四ETF-动量+RSRS轮动</t>
  </si>
  <si>
    <t>市温分段价值白马轮换</t>
  </si>
  <si>
    <t>资产质量改进月调组合</t>
  </si>
  <si>
    <t>财务质量筛选月调十股</t>
  </si>
  <si>
    <t>高股息-低杠杆-小市值周轮动</t>
  </si>
  <si>
    <t>CSI300_F9高分财报精选</t>
  </si>
  <si>
    <t>小市值ROE提升低PB轮动</t>
  </si>
  <si>
    <t>ETF动量+EPO月度轮动</t>
  </si>
  <si>
    <t>开盘幅度ETF择时</t>
  </si>
  <si>
    <t>趋势跟踪/日内择时</t>
  </si>
  <si>
    <t>PEG-EBIT小市值五股轮动</t>
  </si>
  <si>
    <t>低价小市值轮动10</t>
  </si>
  <si>
    <t>低价小盘轮动</t>
  </si>
  <si>
    <t>月度小市值95股轮动</t>
  </si>
  <si>
    <t>小市值轮动/基本面过滤</t>
  </si>
  <si>
    <t>四资产月度风险平价配置</t>
  </si>
  <si>
    <t>资产配置/动量衍生（本质为风险平价）</t>
  </si>
  <si>
    <t>低相关ETF趋势轮动</t>
  </si>
  <si>
    <t>趋势跟踪 / 轮动</t>
  </si>
  <si>
    <t>低相关波动过滤ETF单票动量</t>
  </si>
  <si>
    <t>ETF双均线-20日动量轮动</t>
  </si>
  <si>
    <t>ETF动量+RSRS择时四选一轮动</t>
  </si>
  <si>
    <t>SVR小市值残差轮动</t>
  </si>
  <si>
    <t>小市值轮动/多因子选股</t>
  </si>
  <si>
    <t>ARBR-小市值三股轮动</t>
  </si>
  <si>
    <t>多因子选股（情绪+小市值轮动）</t>
  </si>
  <si>
    <t>月频ETF五仓轮动</t>
  </si>
  <si>
    <t>资产配置/简易趋势轮动</t>
  </si>
  <si>
    <t>三低一高月度股息价投</t>
  </si>
  <si>
    <t>三低一高月调股息成长策略</t>
  </si>
  <si>
    <t>高分红-低估值-成长混合选股（月频10股）</t>
  </si>
  <si>
    <t>四只核心ETF动量轮动</t>
  </si>
  <si>
    <t>低Beta价值轮动+CSI300月度MACD择时</t>
  </si>
  <si>
    <t>LOF/ETF多均线趋势轮动</t>
  </si>
  <si>
    <t>SME小市值轮动5股</t>
  </si>
  <si>
    <t>SalesGrowth-SmallCap_Timing</t>
  </si>
  <si>
    <t>多因子选股 + 指数短周期趋势择时</t>
  </si>
  <si>
    <t>月度EPO风险平价ETF组合</t>
  </si>
  <si>
    <t>资产配置 / 风险平价</t>
  </si>
  <si>
    <t>ETF 动量-RSRS 轮动</t>
  </si>
  <si>
    <t>非行业ETF动量轮动</t>
  </si>
  <si>
    <t>ETF动量-RSRS双因子轮动</t>
  </si>
  <si>
    <t>动量策略 + 趋势跟踪</t>
  </si>
  <si>
    <t>大市值高股息PB&lt;1策略</t>
  </si>
  <si>
    <t>中小盘错杀反弹策略</t>
  </si>
  <si>
    <t>小市值轮动 + 情绪反转（事件驱动）</t>
  </si>
  <si>
    <t>ETF三择一动量轮动</t>
  </si>
  <si>
    <t>4ETF线性动量轮动</t>
  </si>
  <si>
    <t>ETF 开盘缺口 T0 动量</t>
  </si>
  <si>
    <t>ROE改善+低PB精选十股</t>
  </si>
  <si>
    <t>低负债+资产质量+ROA提升筛选月调</t>
  </si>
  <si>
    <t>ETF-RSRS动量轮动</t>
  </si>
  <si>
    <t>一字板微盘股日调仓</t>
  </si>
  <si>
    <t>固定权重固收+ETF组合</t>
  </si>
  <si>
    <t>资产配置/其他</t>
  </si>
  <si>
    <t>Top5_MinCap_399101_Daily</t>
  </si>
  <si>
    <t>小市值追涨停首板动量</t>
  </si>
  <si>
    <t>事件驱动 / 情绪动量</t>
  </si>
  <si>
    <t>MicroCap-EW均衡微盘股</t>
  </si>
  <si>
    <t>高销售增速+小市值周度五只轮动</t>
  </si>
  <si>
    <t>ETF-ES风险平价资产轮动</t>
  </si>
  <si>
    <t>其他（风险平价资产配置）</t>
  </si>
  <si>
    <t>宽基ETF 30分钟BBI动量轮动</t>
  </si>
  <si>
    <t>宽基ETF动量轮动（BBI+日涨幅）</t>
  </si>
  <si>
    <t>ETF-21日动量单票轮动</t>
  </si>
  <si>
    <t>BBI宽基ETF单品轮动</t>
  </si>
  <si>
    <t>SME小市值轮动+环境风控</t>
  </si>
  <si>
    <t>低PB高ROA月度5股价值轮换</t>
  </si>
  <si>
    <t>中大市值ROIC成长10股月调</t>
  </si>
  <si>
    <t>小市值成长周调</t>
  </si>
  <si>
    <t>ROIC-Value+LowVol 四因子季度轮动</t>
  </si>
  <si>
    <t>五年稳定高股息精选10</t>
  </si>
  <si>
    <t>五年稳定高股息周调仓</t>
  </si>
  <si>
    <t>价值/成长双风格-RSRS轮动</t>
  </si>
  <si>
    <t>多因子选股 + 趋势动量择时</t>
  </si>
  <si>
    <t>北向布林突破·创业板ETF单标策略</t>
  </si>
  <si>
    <t>趋势跟踪 / 情绪动量</t>
  </si>
  <si>
    <t>25日ETF单品动量轮动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</si>
</sst>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2:U102"/>
  <sheetViews>
    <sheetView tabSelected="1" zoomScale="85" zoomScaleNormal="85" topLeftCell="A2" workbookViewId="0">
      <selection activeCell="M26" sqref="M26"/>
    </sheetView>
  </sheetViews>
  <sheetFormatPr defaultColWidth="9" defaultRowHeight="13.5"/>
  <cols>
    <col min="2" max="2" width="40.5" customWidth="1"/>
    <col min="6" max="6" width="10.375"/>
  </cols>
  <sheetData>
    <row r="2" spans="2:21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2:21">
      <c r="B3" t="s">
        <v>19</v>
      </c>
      <c r="C3" t="s">
        <v>20</v>
      </c>
      <c r="D3" t="s">
        <v>21</v>
      </c>
      <c r="E3" t="s">
        <v>22</v>
      </c>
      <c r="F3" s="1">
        <v>79.0936</v>
      </c>
      <c r="G3" s="1">
        <v>0.9059</v>
      </c>
      <c r="H3">
        <v>3.243</v>
      </c>
      <c r="I3" s="1">
        <v>0.1615</v>
      </c>
      <c r="J3">
        <v>0.716</v>
      </c>
      <c r="K3">
        <v>2</v>
      </c>
      <c r="L3">
        <v>6</v>
      </c>
      <c r="M3">
        <v>6</v>
      </c>
      <c r="N3">
        <v>7</v>
      </c>
      <c r="O3">
        <v>6</v>
      </c>
      <c r="P3">
        <v>4</v>
      </c>
      <c r="Q3">
        <v>5.5</v>
      </c>
      <c r="R3">
        <v>55</v>
      </c>
      <c r="S3" t="s">
        <v>23</v>
      </c>
      <c r="T3" t="s">
        <v>24</v>
      </c>
      <c r="U3">
        <f>O3+P3</f>
        <v>10</v>
      </c>
    </row>
    <row r="4" hidden="1" spans="2:21">
      <c r="B4" t="s">
        <v>25</v>
      </c>
      <c r="C4" t="s">
        <v>26</v>
      </c>
      <c r="D4" t="s">
        <v>21</v>
      </c>
      <c r="E4" t="s">
        <v>22</v>
      </c>
      <c r="F4" s="1">
        <v>55.2406</v>
      </c>
      <c r="G4" s="1">
        <v>0.8093</v>
      </c>
      <c r="H4">
        <v>2.971</v>
      </c>
      <c r="I4" s="1">
        <v>0.1918</v>
      </c>
      <c r="J4">
        <v>0.732</v>
      </c>
      <c r="K4">
        <v>3</v>
      </c>
      <c r="L4">
        <v>6</v>
      </c>
      <c r="M4">
        <v>6</v>
      </c>
      <c r="N4">
        <v>7</v>
      </c>
      <c r="O4">
        <v>4</v>
      </c>
      <c r="P4">
        <v>5</v>
      </c>
      <c r="Q4">
        <v>5.5</v>
      </c>
      <c r="R4">
        <v>54.5</v>
      </c>
      <c r="S4" t="s">
        <v>23</v>
      </c>
      <c r="T4" t="s">
        <v>24</v>
      </c>
      <c r="U4">
        <f t="shared" ref="U4:U35" si="0">O4+P4</f>
        <v>9</v>
      </c>
    </row>
    <row r="5" hidden="1" spans="2:21">
      <c r="B5" t="s">
        <v>27</v>
      </c>
      <c r="C5" t="s">
        <v>28</v>
      </c>
      <c r="D5" t="s">
        <v>21</v>
      </c>
      <c r="E5" t="s">
        <v>22</v>
      </c>
      <c r="F5" s="1">
        <v>56.5331</v>
      </c>
      <c r="G5" s="1">
        <v>0.8154</v>
      </c>
      <c r="H5">
        <v>2.945</v>
      </c>
      <c r="I5" s="1">
        <v>0.1973</v>
      </c>
      <c r="J5">
        <v>0.743</v>
      </c>
      <c r="K5">
        <v>2</v>
      </c>
      <c r="L5">
        <v>6</v>
      </c>
      <c r="M5">
        <v>6</v>
      </c>
      <c r="N5">
        <v>7</v>
      </c>
      <c r="O5">
        <v>5</v>
      </c>
      <c r="P5">
        <v>4</v>
      </c>
      <c r="Q5">
        <v>5.3</v>
      </c>
      <c r="R5">
        <v>54.5</v>
      </c>
      <c r="S5" t="s">
        <v>23</v>
      </c>
      <c r="T5" t="s">
        <v>24</v>
      </c>
      <c r="U5">
        <f t="shared" si="0"/>
        <v>9</v>
      </c>
    </row>
    <row r="6" spans="2:21">
      <c r="B6" t="s">
        <v>29</v>
      </c>
      <c r="C6" t="s">
        <v>20</v>
      </c>
      <c r="D6" t="s">
        <v>21</v>
      </c>
      <c r="E6" t="s">
        <v>22</v>
      </c>
      <c r="F6" s="1">
        <v>65.1412</v>
      </c>
      <c r="G6" s="1">
        <v>0.853</v>
      </c>
      <c r="H6">
        <v>2.86</v>
      </c>
      <c r="I6" s="1">
        <v>0.333</v>
      </c>
      <c r="J6">
        <v>0.639</v>
      </c>
      <c r="K6">
        <v>2</v>
      </c>
      <c r="L6">
        <v>4</v>
      </c>
      <c r="M6">
        <v>4</v>
      </c>
      <c r="N6">
        <v>6</v>
      </c>
      <c r="O6">
        <v>6</v>
      </c>
      <c r="P6">
        <v>4</v>
      </c>
      <c r="Q6">
        <v>5.1</v>
      </c>
      <c r="R6">
        <v>59.5</v>
      </c>
      <c r="S6" t="s">
        <v>23</v>
      </c>
      <c r="T6" t="s">
        <v>24</v>
      </c>
      <c r="U6">
        <f t="shared" si="0"/>
        <v>10</v>
      </c>
    </row>
    <row r="7" spans="2:21">
      <c r="B7" t="s">
        <v>30</v>
      </c>
      <c r="C7" t="s">
        <v>31</v>
      </c>
      <c r="D7" t="s">
        <v>21</v>
      </c>
      <c r="E7" t="s">
        <v>22</v>
      </c>
      <c r="F7" s="1">
        <v>120.0991</v>
      </c>
      <c r="G7" s="1">
        <v>1.0255</v>
      </c>
      <c r="H7">
        <v>2.72</v>
      </c>
      <c r="I7" s="1">
        <v>0.407</v>
      </c>
      <c r="J7">
        <v>0.611</v>
      </c>
      <c r="K7">
        <v>2</v>
      </c>
      <c r="L7">
        <v>6</v>
      </c>
      <c r="M7">
        <v>6</v>
      </c>
      <c r="N7">
        <v>7</v>
      </c>
      <c r="O7">
        <v>6</v>
      </c>
      <c r="P7">
        <v>5</v>
      </c>
      <c r="Q7">
        <v>5.9</v>
      </c>
      <c r="R7">
        <v>58</v>
      </c>
      <c r="S7" t="s">
        <v>23</v>
      </c>
      <c r="T7" t="s">
        <v>24</v>
      </c>
      <c r="U7">
        <f t="shared" si="0"/>
        <v>11</v>
      </c>
    </row>
    <row r="8" spans="2:21">
      <c r="B8" t="s">
        <v>32</v>
      </c>
      <c r="C8" t="s">
        <v>33</v>
      </c>
      <c r="D8" t="s">
        <v>21</v>
      </c>
      <c r="E8" t="s">
        <v>22</v>
      </c>
      <c r="F8" s="1">
        <v>28.6266</v>
      </c>
      <c r="G8" s="1">
        <v>0.6465</v>
      </c>
      <c r="H8">
        <v>2.628</v>
      </c>
      <c r="I8" s="1">
        <v>0.142</v>
      </c>
      <c r="J8">
        <v>0.597</v>
      </c>
      <c r="K8">
        <v>2</v>
      </c>
      <c r="L8">
        <v>4</v>
      </c>
      <c r="M8">
        <v>4</v>
      </c>
      <c r="N8">
        <v>5</v>
      </c>
      <c r="O8">
        <v>6</v>
      </c>
      <c r="P8">
        <v>5</v>
      </c>
      <c r="Q8">
        <v>5.2</v>
      </c>
      <c r="R8">
        <v>60</v>
      </c>
      <c r="S8" t="s">
        <v>23</v>
      </c>
      <c r="T8" t="s">
        <v>24</v>
      </c>
      <c r="U8">
        <f t="shared" si="0"/>
        <v>11</v>
      </c>
    </row>
    <row r="9" spans="2:21">
      <c r="B9" t="s">
        <v>34</v>
      </c>
      <c r="C9" t="s">
        <v>35</v>
      </c>
      <c r="D9" t="s">
        <v>21</v>
      </c>
      <c r="E9" t="s">
        <v>22</v>
      </c>
      <c r="F9" s="1">
        <v>0.3041</v>
      </c>
      <c r="G9" s="1">
        <v>0.5756</v>
      </c>
      <c r="H9">
        <v>2.568</v>
      </c>
      <c r="I9" s="1">
        <v>0.1726</v>
      </c>
      <c r="J9">
        <v>0.582</v>
      </c>
      <c r="K9">
        <v>2</v>
      </c>
      <c r="L9">
        <v>7</v>
      </c>
      <c r="M9">
        <v>7</v>
      </c>
      <c r="N9">
        <v>8</v>
      </c>
      <c r="O9">
        <v>7</v>
      </c>
      <c r="P9">
        <v>4</v>
      </c>
      <c r="Q9">
        <v>6</v>
      </c>
      <c r="R9">
        <v>51.5</v>
      </c>
      <c r="S9" t="s">
        <v>23</v>
      </c>
      <c r="T9" t="s">
        <v>24</v>
      </c>
      <c r="U9">
        <f t="shared" si="0"/>
        <v>11</v>
      </c>
    </row>
    <row r="10" spans="2:21">
      <c r="B10" t="s">
        <v>36</v>
      </c>
      <c r="C10" t="s">
        <v>37</v>
      </c>
      <c r="D10" t="s">
        <v>21</v>
      </c>
      <c r="E10" t="s">
        <v>22</v>
      </c>
      <c r="F10" s="1">
        <v>36.0142</v>
      </c>
      <c r="G10" s="1">
        <v>0.7013</v>
      </c>
      <c r="H10">
        <v>2.467</v>
      </c>
      <c r="I10" s="1">
        <v>0.252</v>
      </c>
      <c r="J10">
        <v>0.74</v>
      </c>
      <c r="K10">
        <v>3</v>
      </c>
      <c r="L10">
        <v>6</v>
      </c>
      <c r="M10">
        <v>5</v>
      </c>
      <c r="N10">
        <v>7</v>
      </c>
      <c r="O10">
        <v>6</v>
      </c>
      <c r="P10">
        <v>5</v>
      </c>
      <c r="Q10">
        <v>5.9</v>
      </c>
      <c r="R10">
        <v>56.7</v>
      </c>
      <c r="S10" t="s">
        <v>23</v>
      </c>
      <c r="T10" t="s">
        <v>24</v>
      </c>
      <c r="U10">
        <f t="shared" si="0"/>
        <v>11</v>
      </c>
    </row>
    <row r="11" spans="2:21">
      <c r="B11" t="s">
        <v>38</v>
      </c>
      <c r="C11" t="s">
        <v>39</v>
      </c>
      <c r="D11" t="s">
        <v>21</v>
      </c>
      <c r="E11" t="s">
        <v>22</v>
      </c>
      <c r="F11" s="1">
        <v>0.1851</v>
      </c>
      <c r="G11" s="1">
        <v>0.3374</v>
      </c>
      <c r="H11">
        <v>2.104</v>
      </c>
      <c r="I11" s="1">
        <v>0.078</v>
      </c>
      <c r="J11">
        <v>0.76</v>
      </c>
      <c r="K11">
        <v>3</v>
      </c>
      <c r="L11">
        <v>6</v>
      </c>
      <c r="M11">
        <v>6</v>
      </c>
      <c r="N11">
        <v>7</v>
      </c>
      <c r="O11">
        <v>5</v>
      </c>
      <c r="P11">
        <v>5</v>
      </c>
      <c r="Q11">
        <v>5.7</v>
      </c>
      <c r="R11">
        <v>57</v>
      </c>
      <c r="S11" t="s">
        <v>23</v>
      </c>
      <c r="T11" t="s">
        <v>24</v>
      </c>
      <c r="U11">
        <f t="shared" si="0"/>
        <v>10</v>
      </c>
    </row>
    <row r="12" hidden="1" spans="2:21">
      <c r="B12" t="s">
        <v>40</v>
      </c>
      <c r="C12" t="s">
        <v>31</v>
      </c>
      <c r="D12" t="s">
        <v>21</v>
      </c>
      <c r="E12" t="s">
        <v>22</v>
      </c>
      <c r="F12" s="1">
        <v>40.884</v>
      </c>
      <c r="G12" s="1">
        <v>0.7325</v>
      </c>
      <c r="H12">
        <v>2.093</v>
      </c>
      <c r="I12" s="1">
        <v>0.5067</v>
      </c>
      <c r="J12">
        <v>0.654</v>
      </c>
      <c r="K12">
        <v>2</v>
      </c>
      <c r="L12">
        <v>6</v>
      </c>
      <c r="M12">
        <v>5</v>
      </c>
      <c r="N12">
        <v>7</v>
      </c>
      <c r="O12">
        <v>4</v>
      </c>
      <c r="P12">
        <v>5</v>
      </c>
      <c r="Q12">
        <v>5.5</v>
      </c>
      <c r="R12">
        <v>57.7</v>
      </c>
      <c r="S12" t="s">
        <v>23</v>
      </c>
      <c r="T12" t="s">
        <v>24</v>
      </c>
      <c r="U12">
        <f t="shared" si="0"/>
        <v>9</v>
      </c>
    </row>
    <row r="13" spans="2:21">
      <c r="B13" t="s">
        <v>41</v>
      </c>
      <c r="C13" t="s">
        <v>42</v>
      </c>
      <c r="D13" t="s">
        <v>21</v>
      </c>
      <c r="E13" t="s">
        <v>22</v>
      </c>
      <c r="F13" s="1">
        <v>1.0918</v>
      </c>
      <c r="G13" s="1">
        <v>2.5385</v>
      </c>
      <c r="H13">
        <v>10.797</v>
      </c>
      <c r="I13" s="1">
        <v>0.0916</v>
      </c>
      <c r="J13">
        <v>0.583</v>
      </c>
      <c r="K13">
        <v>2</v>
      </c>
      <c r="L13">
        <v>3</v>
      </c>
      <c r="M13">
        <v>4</v>
      </c>
      <c r="N13">
        <v>7</v>
      </c>
      <c r="O13">
        <v>5</v>
      </c>
      <c r="P13">
        <v>5</v>
      </c>
      <c r="Q13">
        <v>5.7</v>
      </c>
      <c r="R13">
        <v>63.8</v>
      </c>
      <c r="S13" t="s">
        <v>23</v>
      </c>
      <c r="T13" t="s">
        <v>24</v>
      </c>
      <c r="U13">
        <f t="shared" si="0"/>
        <v>10</v>
      </c>
    </row>
    <row r="14" hidden="1" spans="2:21">
      <c r="B14" t="s">
        <v>43</v>
      </c>
      <c r="C14" t="s">
        <v>44</v>
      </c>
      <c r="D14" t="s">
        <v>21</v>
      </c>
      <c r="E14" t="s">
        <v>22</v>
      </c>
      <c r="F14" s="1">
        <v>105.3513</v>
      </c>
      <c r="G14" s="1">
        <v>0.9871</v>
      </c>
      <c r="H14">
        <v>1.999</v>
      </c>
      <c r="I14" s="1">
        <v>0.3567</v>
      </c>
      <c r="J14">
        <v>0.529</v>
      </c>
      <c r="K14">
        <v>2</v>
      </c>
      <c r="L14">
        <v>6</v>
      </c>
      <c r="M14">
        <v>5</v>
      </c>
      <c r="N14">
        <v>8</v>
      </c>
      <c r="O14">
        <v>4</v>
      </c>
      <c r="P14">
        <v>3</v>
      </c>
      <c r="Q14">
        <v>5</v>
      </c>
      <c r="R14">
        <v>55.2</v>
      </c>
      <c r="S14" t="s">
        <v>23</v>
      </c>
      <c r="T14" t="s">
        <v>24</v>
      </c>
      <c r="U14">
        <f t="shared" si="0"/>
        <v>7</v>
      </c>
    </row>
    <row r="15" hidden="1" spans="2:21">
      <c r="B15" t="s">
        <v>45</v>
      </c>
      <c r="C15" t="s">
        <v>46</v>
      </c>
      <c r="D15" t="s">
        <v>21</v>
      </c>
      <c r="E15" t="s">
        <v>22</v>
      </c>
      <c r="F15" s="1">
        <v>13.312</v>
      </c>
      <c r="G15" s="1">
        <v>0.4793</v>
      </c>
      <c r="H15">
        <v>1.994</v>
      </c>
      <c r="I15" s="1">
        <v>0.2464</v>
      </c>
      <c r="J15">
        <v>0.655</v>
      </c>
      <c r="K15">
        <v>2</v>
      </c>
      <c r="L15">
        <v>6</v>
      </c>
      <c r="M15">
        <v>5</v>
      </c>
      <c r="N15">
        <v>7</v>
      </c>
      <c r="O15">
        <v>5</v>
      </c>
      <c r="P15">
        <v>4</v>
      </c>
      <c r="Q15">
        <v>5.3</v>
      </c>
      <c r="R15">
        <v>56.2</v>
      </c>
      <c r="S15" t="s">
        <v>23</v>
      </c>
      <c r="T15" t="s">
        <v>24</v>
      </c>
      <c r="U15">
        <f t="shared" si="0"/>
        <v>9</v>
      </c>
    </row>
    <row r="16" spans="2:21">
      <c r="B16" t="s">
        <v>47</v>
      </c>
      <c r="C16" t="s">
        <v>31</v>
      </c>
      <c r="D16" t="s">
        <v>21</v>
      </c>
      <c r="E16" t="s">
        <v>22</v>
      </c>
      <c r="F16" s="1">
        <v>25.2861</v>
      </c>
      <c r="G16" s="1">
        <v>0.6177</v>
      </c>
      <c r="H16">
        <v>1.922</v>
      </c>
      <c r="I16" s="1">
        <v>0.3829</v>
      </c>
      <c r="J16">
        <v>0.577</v>
      </c>
      <c r="K16">
        <v>2</v>
      </c>
      <c r="L16">
        <v>6</v>
      </c>
      <c r="M16">
        <v>5</v>
      </c>
      <c r="N16">
        <v>8</v>
      </c>
      <c r="O16">
        <v>6</v>
      </c>
      <c r="P16">
        <v>5</v>
      </c>
      <c r="Q16">
        <v>6.3</v>
      </c>
      <c r="R16">
        <v>60.7</v>
      </c>
      <c r="S16" t="s">
        <v>23</v>
      </c>
      <c r="T16" t="s">
        <v>24</v>
      </c>
      <c r="U16">
        <f t="shared" si="0"/>
        <v>11</v>
      </c>
    </row>
    <row r="17" hidden="1" spans="2:21">
      <c r="B17" t="s">
        <v>48</v>
      </c>
      <c r="C17" t="s">
        <v>39</v>
      </c>
      <c r="D17" t="s">
        <v>21</v>
      </c>
      <c r="E17" t="s">
        <v>22</v>
      </c>
      <c r="F17" s="1">
        <v>18.5416</v>
      </c>
      <c r="G17" s="1">
        <v>0.5487</v>
      </c>
      <c r="H17">
        <v>1.909</v>
      </c>
      <c r="I17" s="1">
        <v>0.3939</v>
      </c>
      <c r="J17">
        <v>0.762</v>
      </c>
      <c r="K17">
        <v>2</v>
      </c>
      <c r="L17">
        <v>6</v>
      </c>
      <c r="M17">
        <v>5</v>
      </c>
      <c r="N17">
        <v>7</v>
      </c>
      <c r="O17">
        <v>3</v>
      </c>
      <c r="P17">
        <v>5</v>
      </c>
      <c r="Q17">
        <v>5.4</v>
      </c>
      <c r="R17">
        <v>56.7</v>
      </c>
      <c r="S17" t="s">
        <v>23</v>
      </c>
      <c r="T17" t="s">
        <v>24</v>
      </c>
      <c r="U17">
        <f t="shared" si="0"/>
        <v>8</v>
      </c>
    </row>
    <row r="18" spans="2:21">
      <c r="B18" t="s">
        <v>49</v>
      </c>
      <c r="C18" t="s">
        <v>39</v>
      </c>
      <c r="D18" t="s">
        <v>21</v>
      </c>
      <c r="E18" t="s">
        <v>22</v>
      </c>
      <c r="F18" s="1">
        <v>23.1915</v>
      </c>
      <c r="G18" s="1">
        <v>0.5981</v>
      </c>
      <c r="H18">
        <v>1.853</v>
      </c>
      <c r="I18" s="1">
        <v>0.4217</v>
      </c>
      <c r="J18">
        <v>0.623</v>
      </c>
      <c r="K18">
        <v>2</v>
      </c>
      <c r="L18">
        <v>6</v>
      </c>
      <c r="M18">
        <v>5</v>
      </c>
      <c r="N18">
        <v>7</v>
      </c>
      <c r="O18">
        <v>4</v>
      </c>
      <c r="P18">
        <v>6</v>
      </c>
      <c r="Q18">
        <v>6</v>
      </c>
      <c r="R18">
        <v>58.2</v>
      </c>
      <c r="S18" t="s">
        <v>23</v>
      </c>
      <c r="T18" t="s">
        <v>24</v>
      </c>
      <c r="U18">
        <f t="shared" si="0"/>
        <v>10</v>
      </c>
    </row>
    <row r="19" hidden="1" spans="2:21">
      <c r="B19" t="s">
        <v>50</v>
      </c>
      <c r="C19" t="s">
        <v>51</v>
      </c>
      <c r="D19" t="s">
        <v>21</v>
      </c>
      <c r="E19" t="s">
        <v>22</v>
      </c>
      <c r="F19" s="1">
        <v>8.4952</v>
      </c>
      <c r="G19" s="1">
        <v>0.3926</v>
      </c>
      <c r="H19">
        <v>1.772</v>
      </c>
      <c r="I19" s="1">
        <v>0.2004</v>
      </c>
      <c r="J19">
        <v>0.559</v>
      </c>
      <c r="K19">
        <v>2</v>
      </c>
      <c r="L19">
        <v>4</v>
      </c>
      <c r="M19">
        <v>7</v>
      </c>
      <c r="N19">
        <v>7</v>
      </c>
      <c r="O19">
        <v>3</v>
      </c>
      <c r="P19">
        <v>5</v>
      </c>
      <c r="Q19">
        <v>5.4</v>
      </c>
      <c r="R19">
        <v>56.4</v>
      </c>
      <c r="S19" t="s">
        <v>23</v>
      </c>
      <c r="T19" t="s">
        <v>24</v>
      </c>
      <c r="U19">
        <f t="shared" si="0"/>
        <v>8</v>
      </c>
    </row>
    <row r="20" hidden="1" spans="2:21">
      <c r="B20" t="s">
        <v>52</v>
      </c>
      <c r="C20" t="s">
        <v>53</v>
      </c>
      <c r="D20" t="s">
        <v>21</v>
      </c>
      <c r="E20" t="s">
        <v>22</v>
      </c>
      <c r="F20" s="1">
        <v>8.4952</v>
      </c>
      <c r="G20" s="1">
        <v>0.3926</v>
      </c>
      <c r="H20">
        <v>1.772</v>
      </c>
      <c r="I20" s="1">
        <v>0.2004</v>
      </c>
      <c r="J20">
        <v>0.559</v>
      </c>
      <c r="K20">
        <v>2</v>
      </c>
      <c r="L20">
        <v>4</v>
      </c>
      <c r="M20">
        <v>5</v>
      </c>
      <c r="N20">
        <v>6</v>
      </c>
      <c r="O20">
        <v>5</v>
      </c>
      <c r="P20">
        <v>4</v>
      </c>
      <c r="Q20">
        <v>4.9</v>
      </c>
      <c r="R20">
        <v>56.3</v>
      </c>
      <c r="S20" t="s">
        <v>23</v>
      </c>
      <c r="T20" t="s">
        <v>24</v>
      </c>
      <c r="U20">
        <f t="shared" si="0"/>
        <v>9</v>
      </c>
    </row>
    <row r="21" spans="2:21">
      <c r="B21" t="s">
        <v>54</v>
      </c>
      <c r="C21" t="s">
        <v>39</v>
      </c>
      <c r="D21" t="s">
        <v>21</v>
      </c>
      <c r="E21" t="s">
        <v>22</v>
      </c>
      <c r="F21" s="1">
        <v>20.6958</v>
      </c>
      <c r="G21" s="1">
        <v>0.5727</v>
      </c>
      <c r="H21">
        <v>1.7</v>
      </c>
      <c r="I21" s="1">
        <v>0.2478</v>
      </c>
      <c r="J21">
        <v>0.657</v>
      </c>
      <c r="K21">
        <v>3</v>
      </c>
      <c r="L21">
        <v>2</v>
      </c>
      <c r="M21">
        <v>7</v>
      </c>
      <c r="N21">
        <v>5</v>
      </c>
      <c r="O21">
        <v>5</v>
      </c>
      <c r="P21">
        <v>6</v>
      </c>
      <c r="Q21">
        <v>5.5</v>
      </c>
      <c r="R21">
        <v>63.5</v>
      </c>
      <c r="S21" t="s">
        <v>23</v>
      </c>
      <c r="T21" t="s">
        <v>24</v>
      </c>
      <c r="U21">
        <f t="shared" si="0"/>
        <v>11</v>
      </c>
    </row>
    <row r="22" spans="2:21">
      <c r="B22" t="s">
        <v>55</v>
      </c>
      <c r="C22" t="s">
        <v>39</v>
      </c>
      <c r="D22" t="s">
        <v>21</v>
      </c>
      <c r="E22" t="s">
        <v>22</v>
      </c>
      <c r="F22" s="1">
        <v>20.6958</v>
      </c>
      <c r="G22" s="1">
        <v>0.5727</v>
      </c>
      <c r="H22">
        <v>1.7</v>
      </c>
      <c r="I22" s="1">
        <v>0.2478</v>
      </c>
      <c r="J22">
        <v>0.657</v>
      </c>
      <c r="K22">
        <v>3</v>
      </c>
      <c r="L22">
        <v>7</v>
      </c>
      <c r="M22">
        <v>6</v>
      </c>
      <c r="N22">
        <v>8</v>
      </c>
      <c r="O22">
        <v>5</v>
      </c>
      <c r="P22">
        <v>5</v>
      </c>
      <c r="Q22">
        <v>6.1</v>
      </c>
      <c r="R22">
        <v>56.7</v>
      </c>
      <c r="S22" t="s">
        <v>23</v>
      </c>
      <c r="T22" t="s">
        <v>24</v>
      </c>
      <c r="U22">
        <f t="shared" si="0"/>
        <v>10</v>
      </c>
    </row>
    <row r="23" hidden="1" spans="2:21">
      <c r="B23" t="s">
        <v>56</v>
      </c>
      <c r="C23" t="s">
        <v>31</v>
      </c>
      <c r="D23" t="s">
        <v>21</v>
      </c>
      <c r="E23" t="s">
        <v>22</v>
      </c>
      <c r="F23" s="1">
        <v>17.4775</v>
      </c>
      <c r="G23" s="1">
        <v>0.536</v>
      </c>
      <c r="H23">
        <v>1.677</v>
      </c>
      <c r="I23" s="1">
        <v>0.3962</v>
      </c>
      <c r="J23">
        <v>0.613</v>
      </c>
      <c r="K23">
        <v>3</v>
      </c>
      <c r="L23">
        <v>5</v>
      </c>
      <c r="M23">
        <v>6</v>
      </c>
      <c r="N23">
        <v>7</v>
      </c>
      <c r="O23">
        <v>4</v>
      </c>
      <c r="P23">
        <v>5</v>
      </c>
      <c r="Q23">
        <v>5.5</v>
      </c>
      <c r="R23">
        <v>57.8</v>
      </c>
      <c r="S23" t="s">
        <v>23</v>
      </c>
      <c r="T23" t="s">
        <v>24</v>
      </c>
      <c r="U23">
        <f t="shared" si="0"/>
        <v>9</v>
      </c>
    </row>
    <row r="24" spans="2:21">
      <c r="B24" t="s">
        <v>57</v>
      </c>
      <c r="C24" t="s">
        <v>58</v>
      </c>
      <c r="D24" t="s">
        <v>21</v>
      </c>
      <c r="E24" t="s">
        <v>22</v>
      </c>
      <c r="F24" s="1">
        <v>20.3212</v>
      </c>
      <c r="G24" s="1">
        <v>0.5687</v>
      </c>
      <c r="H24">
        <v>1.655</v>
      </c>
      <c r="I24" s="1">
        <v>0.4658</v>
      </c>
      <c r="J24">
        <v>0.649</v>
      </c>
      <c r="K24">
        <v>2</v>
      </c>
      <c r="L24">
        <v>5</v>
      </c>
      <c r="M24">
        <v>5</v>
      </c>
      <c r="N24">
        <v>7</v>
      </c>
      <c r="O24">
        <v>5</v>
      </c>
      <c r="P24">
        <v>5</v>
      </c>
      <c r="Q24">
        <v>5.7</v>
      </c>
      <c r="R24">
        <v>60</v>
      </c>
      <c r="S24" t="s">
        <v>23</v>
      </c>
      <c r="T24" t="s">
        <v>24</v>
      </c>
      <c r="U24">
        <f t="shared" si="0"/>
        <v>10</v>
      </c>
    </row>
    <row r="25" hidden="1" spans="2:21">
      <c r="B25" t="s">
        <v>59</v>
      </c>
      <c r="C25" t="s">
        <v>39</v>
      </c>
      <c r="D25" t="s">
        <v>21</v>
      </c>
      <c r="E25" t="s">
        <v>22</v>
      </c>
      <c r="F25" s="1">
        <v>20.3212</v>
      </c>
      <c r="G25" s="1">
        <v>0.5687</v>
      </c>
      <c r="H25">
        <v>1.655</v>
      </c>
      <c r="I25" s="1">
        <v>0.4658</v>
      </c>
      <c r="J25">
        <v>0.649</v>
      </c>
      <c r="K25">
        <v>3</v>
      </c>
      <c r="L25">
        <v>6</v>
      </c>
      <c r="M25">
        <v>5</v>
      </c>
      <c r="N25">
        <v>7</v>
      </c>
      <c r="O25">
        <v>5</v>
      </c>
      <c r="P25">
        <v>4</v>
      </c>
      <c r="Q25">
        <v>5.3</v>
      </c>
      <c r="R25">
        <v>55.7</v>
      </c>
      <c r="S25" t="s">
        <v>23</v>
      </c>
      <c r="T25" t="s">
        <v>24</v>
      </c>
      <c r="U25">
        <f t="shared" si="0"/>
        <v>9</v>
      </c>
    </row>
    <row r="26" spans="2:21">
      <c r="B26" t="s">
        <v>60</v>
      </c>
      <c r="C26" t="s">
        <v>31</v>
      </c>
      <c r="D26" t="s">
        <v>21</v>
      </c>
      <c r="E26" t="s">
        <v>22</v>
      </c>
      <c r="F26" s="1">
        <v>14.2209</v>
      </c>
      <c r="G26" s="1">
        <v>0.4928</v>
      </c>
      <c r="H26">
        <v>1.65</v>
      </c>
      <c r="I26" s="1">
        <v>0.456</v>
      </c>
      <c r="J26">
        <v>0.668</v>
      </c>
      <c r="K26">
        <v>3</v>
      </c>
      <c r="L26">
        <v>7</v>
      </c>
      <c r="M26">
        <v>5</v>
      </c>
      <c r="N26">
        <v>8</v>
      </c>
      <c r="O26">
        <v>6</v>
      </c>
      <c r="P26">
        <v>5</v>
      </c>
      <c r="Q26">
        <v>6.3</v>
      </c>
      <c r="R26">
        <v>58.4</v>
      </c>
      <c r="S26" t="s">
        <v>23</v>
      </c>
      <c r="T26" t="s">
        <v>24</v>
      </c>
      <c r="U26">
        <f t="shared" si="0"/>
        <v>11</v>
      </c>
    </row>
    <row r="27" spans="2:21">
      <c r="B27" t="s">
        <v>61</v>
      </c>
      <c r="C27" t="s">
        <v>39</v>
      </c>
      <c r="D27" t="s">
        <v>21</v>
      </c>
      <c r="E27" t="s">
        <v>22</v>
      </c>
      <c r="F27" s="1">
        <v>15.8115</v>
      </c>
      <c r="G27" s="1">
        <v>0.5148</v>
      </c>
      <c r="H27">
        <v>1.646</v>
      </c>
      <c r="I27" s="1">
        <v>0.4193</v>
      </c>
      <c r="J27">
        <v>0.707</v>
      </c>
      <c r="K27">
        <v>2</v>
      </c>
      <c r="L27">
        <v>6</v>
      </c>
      <c r="M27">
        <v>7</v>
      </c>
      <c r="N27">
        <v>7</v>
      </c>
      <c r="O27">
        <v>5</v>
      </c>
      <c r="P27">
        <v>5</v>
      </c>
      <c r="Q27">
        <v>5.7</v>
      </c>
      <c r="R27">
        <v>57.3</v>
      </c>
      <c r="S27" t="s">
        <v>23</v>
      </c>
      <c r="T27" t="s">
        <v>24</v>
      </c>
      <c r="U27">
        <f t="shared" si="0"/>
        <v>10</v>
      </c>
    </row>
    <row r="28" hidden="1" spans="2:21">
      <c r="B28" t="s">
        <v>62</v>
      </c>
      <c r="C28" t="s">
        <v>63</v>
      </c>
      <c r="D28" t="s">
        <v>21</v>
      </c>
      <c r="E28" t="s">
        <v>22</v>
      </c>
      <c r="F28" s="1">
        <v>9.3338</v>
      </c>
      <c r="G28" s="1">
        <v>0.4101</v>
      </c>
      <c r="H28">
        <v>1.644</v>
      </c>
      <c r="I28" s="1">
        <v>0.2283</v>
      </c>
      <c r="J28">
        <v>0.657</v>
      </c>
      <c r="K28">
        <v>2</v>
      </c>
      <c r="L28">
        <v>4</v>
      </c>
      <c r="M28">
        <v>5</v>
      </c>
      <c r="N28">
        <v>7</v>
      </c>
      <c r="O28">
        <v>5</v>
      </c>
      <c r="P28">
        <v>4</v>
      </c>
      <c r="Q28">
        <v>5.3</v>
      </c>
      <c r="R28">
        <v>59.3</v>
      </c>
      <c r="S28" t="s">
        <v>23</v>
      </c>
      <c r="T28" t="s">
        <v>24</v>
      </c>
      <c r="U28">
        <f t="shared" si="0"/>
        <v>9</v>
      </c>
    </row>
    <row r="29" spans="2:21">
      <c r="B29" t="s">
        <v>64</v>
      </c>
      <c r="C29" t="s">
        <v>39</v>
      </c>
      <c r="D29" t="s">
        <v>21</v>
      </c>
      <c r="E29" t="s">
        <v>22</v>
      </c>
      <c r="F29" s="1">
        <v>14.603</v>
      </c>
      <c r="G29" s="1">
        <v>0.4982</v>
      </c>
      <c r="H29">
        <v>1.627</v>
      </c>
      <c r="I29" s="1">
        <v>0.4858</v>
      </c>
      <c r="J29">
        <v>0.719</v>
      </c>
      <c r="K29">
        <v>3</v>
      </c>
      <c r="L29">
        <v>4</v>
      </c>
      <c r="M29">
        <v>6</v>
      </c>
      <c r="N29">
        <v>7</v>
      </c>
      <c r="O29">
        <v>5</v>
      </c>
      <c r="P29">
        <v>5</v>
      </c>
      <c r="Q29">
        <v>5.7</v>
      </c>
      <c r="R29">
        <v>61.6</v>
      </c>
      <c r="S29" t="s">
        <v>23</v>
      </c>
      <c r="T29" t="s">
        <v>24</v>
      </c>
      <c r="U29">
        <f t="shared" si="0"/>
        <v>10</v>
      </c>
    </row>
    <row r="30" hidden="1" spans="2:21">
      <c r="B30" t="s">
        <v>65</v>
      </c>
      <c r="C30" t="s">
        <v>39</v>
      </c>
      <c r="D30" t="s">
        <v>21</v>
      </c>
      <c r="E30" t="s">
        <v>22</v>
      </c>
      <c r="F30" s="1">
        <v>18.9112</v>
      </c>
      <c r="G30" s="1">
        <v>0.5529</v>
      </c>
      <c r="H30">
        <v>1.617</v>
      </c>
      <c r="I30" s="1">
        <v>0.4586</v>
      </c>
      <c r="J30">
        <v>0.632</v>
      </c>
      <c r="K30">
        <v>2</v>
      </c>
      <c r="L30">
        <v>4</v>
      </c>
      <c r="M30">
        <v>7</v>
      </c>
      <c r="N30">
        <v>8</v>
      </c>
      <c r="O30">
        <v>4</v>
      </c>
      <c r="P30">
        <v>4</v>
      </c>
      <c r="Q30">
        <v>5.5</v>
      </c>
      <c r="R30">
        <v>57.9</v>
      </c>
      <c r="S30" t="s">
        <v>23</v>
      </c>
      <c r="T30" t="s">
        <v>24</v>
      </c>
      <c r="U30">
        <f t="shared" si="0"/>
        <v>8</v>
      </c>
    </row>
    <row r="31" hidden="1" spans="2:21">
      <c r="B31" t="s">
        <v>66</v>
      </c>
      <c r="C31" t="s">
        <v>67</v>
      </c>
      <c r="D31" t="s">
        <v>21</v>
      </c>
      <c r="E31" t="s">
        <v>22</v>
      </c>
      <c r="F31" s="1">
        <v>13.0531</v>
      </c>
      <c r="G31" s="1">
        <v>0.4753</v>
      </c>
      <c r="H31">
        <v>1.61</v>
      </c>
      <c r="I31" s="1">
        <v>0.4286</v>
      </c>
      <c r="J31">
        <v>0.661</v>
      </c>
      <c r="K31">
        <v>3</v>
      </c>
      <c r="L31">
        <v>5</v>
      </c>
      <c r="M31">
        <v>4</v>
      </c>
      <c r="N31">
        <v>7</v>
      </c>
      <c r="O31">
        <v>4</v>
      </c>
      <c r="P31">
        <v>5</v>
      </c>
      <c r="Q31">
        <v>5.5</v>
      </c>
      <c r="R31">
        <v>60.2</v>
      </c>
      <c r="S31" t="s">
        <v>23</v>
      </c>
      <c r="T31" t="s">
        <v>24</v>
      </c>
      <c r="U31">
        <f t="shared" si="0"/>
        <v>9</v>
      </c>
    </row>
    <row r="32" spans="2:21">
      <c r="B32" t="s">
        <v>68</v>
      </c>
      <c r="C32" t="s">
        <v>31</v>
      </c>
      <c r="D32" t="s">
        <v>21</v>
      </c>
      <c r="E32" t="s">
        <v>22</v>
      </c>
      <c r="F32" s="1">
        <v>13.0531</v>
      </c>
      <c r="G32" s="1">
        <v>0.4753</v>
      </c>
      <c r="H32">
        <v>1.61</v>
      </c>
      <c r="I32" s="1">
        <v>0.4286</v>
      </c>
      <c r="J32">
        <v>0.661</v>
      </c>
      <c r="K32">
        <v>2</v>
      </c>
      <c r="L32">
        <v>6</v>
      </c>
      <c r="M32">
        <v>5</v>
      </c>
      <c r="N32">
        <v>7</v>
      </c>
      <c r="O32">
        <v>5</v>
      </c>
      <c r="P32">
        <v>5</v>
      </c>
      <c r="Q32">
        <v>5.7</v>
      </c>
      <c r="R32">
        <v>55.7</v>
      </c>
      <c r="S32" t="s">
        <v>23</v>
      </c>
      <c r="T32" t="s">
        <v>24</v>
      </c>
      <c r="U32">
        <f t="shared" si="0"/>
        <v>10</v>
      </c>
    </row>
    <row r="33" hidden="1" spans="2:21">
      <c r="B33" t="s">
        <v>56</v>
      </c>
      <c r="C33" t="s">
        <v>39</v>
      </c>
      <c r="D33" t="s">
        <v>21</v>
      </c>
      <c r="E33" t="s">
        <v>22</v>
      </c>
      <c r="F33" s="1">
        <v>19.4477</v>
      </c>
      <c r="G33" s="1">
        <v>0.559</v>
      </c>
      <c r="H33">
        <v>1.597</v>
      </c>
      <c r="I33" s="1">
        <v>0.4604</v>
      </c>
      <c r="J33">
        <v>0.622</v>
      </c>
      <c r="K33">
        <v>2</v>
      </c>
      <c r="L33">
        <v>6</v>
      </c>
      <c r="M33">
        <v>5</v>
      </c>
      <c r="N33">
        <v>7</v>
      </c>
      <c r="O33">
        <v>4</v>
      </c>
      <c r="P33">
        <v>5</v>
      </c>
      <c r="Q33">
        <v>5.5</v>
      </c>
      <c r="R33">
        <v>57.7</v>
      </c>
      <c r="S33" t="s">
        <v>23</v>
      </c>
      <c r="T33" t="s">
        <v>24</v>
      </c>
      <c r="U33">
        <f t="shared" si="0"/>
        <v>9</v>
      </c>
    </row>
    <row r="34" spans="2:21">
      <c r="B34" t="s">
        <v>69</v>
      </c>
      <c r="C34" t="s">
        <v>70</v>
      </c>
      <c r="D34" t="s">
        <v>21</v>
      </c>
      <c r="E34" t="s">
        <v>22</v>
      </c>
      <c r="F34" s="1">
        <v>2.9901</v>
      </c>
      <c r="G34" s="1">
        <v>0.2258</v>
      </c>
      <c r="H34">
        <v>1.593</v>
      </c>
      <c r="I34" s="1">
        <v>0.12</v>
      </c>
      <c r="J34">
        <v>0.67</v>
      </c>
      <c r="K34">
        <v>2</v>
      </c>
      <c r="L34">
        <v>6</v>
      </c>
      <c r="M34">
        <v>5</v>
      </c>
      <c r="N34">
        <v>7</v>
      </c>
      <c r="O34">
        <v>5</v>
      </c>
      <c r="P34">
        <v>5</v>
      </c>
      <c r="Q34">
        <v>5.7</v>
      </c>
      <c r="R34">
        <v>56.2</v>
      </c>
      <c r="S34" t="s">
        <v>23</v>
      </c>
      <c r="T34" t="s">
        <v>24</v>
      </c>
      <c r="U34">
        <f t="shared" si="0"/>
        <v>10</v>
      </c>
    </row>
    <row r="35" hidden="1" spans="2:21">
      <c r="B35" t="s">
        <v>71</v>
      </c>
      <c r="C35" t="s">
        <v>20</v>
      </c>
      <c r="D35" t="s">
        <v>21</v>
      </c>
      <c r="E35" t="s">
        <v>22</v>
      </c>
      <c r="F35" s="1">
        <v>0.0706</v>
      </c>
      <c r="G35" s="1">
        <v>0.1239</v>
      </c>
      <c r="H35">
        <v>1.58</v>
      </c>
      <c r="I35" s="1">
        <v>0.0252</v>
      </c>
      <c r="J35">
        <v>0.784</v>
      </c>
      <c r="K35">
        <v>2</v>
      </c>
      <c r="L35">
        <v>7</v>
      </c>
      <c r="M35">
        <v>6</v>
      </c>
      <c r="N35">
        <v>8</v>
      </c>
      <c r="O35">
        <v>4</v>
      </c>
      <c r="P35">
        <v>5</v>
      </c>
      <c r="Q35">
        <v>5.9</v>
      </c>
      <c r="R35">
        <v>53.7</v>
      </c>
      <c r="S35" t="s">
        <v>23</v>
      </c>
      <c r="T35" t="s">
        <v>24</v>
      </c>
      <c r="U35">
        <f t="shared" si="0"/>
        <v>9</v>
      </c>
    </row>
    <row r="36" hidden="1" spans="2:21">
      <c r="B36" t="s">
        <v>72</v>
      </c>
      <c r="C36" t="s">
        <v>73</v>
      </c>
      <c r="D36" t="s">
        <v>21</v>
      </c>
      <c r="E36" t="s">
        <v>22</v>
      </c>
      <c r="F36" s="1">
        <v>6.2267</v>
      </c>
      <c r="G36" s="1">
        <v>0.3378</v>
      </c>
      <c r="H36">
        <v>1.562</v>
      </c>
      <c r="I36" s="1">
        <v>0.2814</v>
      </c>
      <c r="J36">
        <v>0.494</v>
      </c>
      <c r="K36">
        <v>2</v>
      </c>
      <c r="L36">
        <v>3</v>
      </c>
      <c r="M36">
        <v>8</v>
      </c>
      <c r="N36">
        <v>3</v>
      </c>
      <c r="O36">
        <v>4</v>
      </c>
      <c r="P36">
        <v>5</v>
      </c>
      <c r="Q36">
        <v>4.1</v>
      </c>
      <c r="R36">
        <v>51</v>
      </c>
      <c r="S36" t="s">
        <v>23</v>
      </c>
      <c r="T36" t="s">
        <v>24</v>
      </c>
      <c r="U36">
        <f t="shared" ref="U36:U52" si="1">O36+P36</f>
        <v>9</v>
      </c>
    </row>
    <row r="37" spans="2:21">
      <c r="B37" t="s">
        <v>74</v>
      </c>
      <c r="C37" t="s">
        <v>73</v>
      </c>
      <c r="D37" t="s">
        <v>21</v>
      </c>
      <c r="E37" t="s">
        <v>22</v>
      </c>
      <c r="F37" s="1">
        <v>6.3898</v>
      </c>
      <c r="G37" s="1">
        <v>0.3422</v>
      </c>
      <c r="H37">
        <v>1.557</v>
      </c>
      <c r="I37" s="1">
        <v>0.3145</v>
      </c>
      <c r="J37">
        <v>0.479</v>
      </c>
      <c r="K37">
        <v>2</v>
      </c>
      <c r="L37">
        <v>3</v>
      </c>
      <c r="M37">
        <v>2</v>
      </c>
      <c r="N37">
        <v>2</v>
      </c>
      <c r="O37">
        <v>5</v>
      </c>
      <c r="P37">
        <v>5</v>
      </c>
      <c r="Q37">
        <v>3.9</v>
      </c>
      <c r="R37">
        <v>58.2</v>
      </c>
      <c r="S37" t="s">
        <v>23</v>
      </c>
      <c r="T37" t="s">
        <v>24</v>
      </c>
      <c r="U37">
        <f t="shared" si="1"/>
        <v>10</v>
      </c>
    </row>
    <row r="38" hidden="1" spans="2:21">
      <c r="B38" t="s">
        <v>75</v>
      </c>
      <c r="C38" t="s">
        <v>44</v>
      </c>
      <c r="D38" t="s">
        <v>21</v>
      </c>
      <c r="E38" t="s">
        <v>22</v>
      </c>
      <c r="F38" s="1">
        <v>6.4674</v>
      </c>
      <c r="G38" s="1">
        <v>0.3443</v>
      </c>
      <c r="H38">
        <v>1.513</v>
      </c>
      <c r="I38" s="1">
        <v>0.1858</v>
      </c>
      <c r="J38">
        <v>0.524</v>
      </c>
      <c r="K38">
        <v>3</v>
      </c>
      <c r="L38">
        <v>4</v>
      </c>
      <c r="M38">
        <v>7</v>
      </c>
      <c r="N38">
        <v>4</v>
      </c>
      <c r="O38">
        <v>3</v>
      </c>
      <c r="P38">
        <v>5</v>
      </c>
      <c r="Q38">
        <v>4.3</v>
      </c>
      <c r="R38">
        <v>50.4</v>
      </c>
      <c r="S38" t="s">
        <v>23</v>
      </c>
      <c r="T38" t="s">
        <v>24</v>
      </c>
      <c r="U38">
        <f t="shared" si="1"/>
        <v>8</v>
      </c>
    </row>
    <row r="39" spans="2:21">
      <c r="B39" t="s">
        <v>76</v>
      </c>
      <c r="C39" t="s">
        <v>73</v>
      </c>
      <c r="D39" t="s">
        <v>21</v>
      </c>
      <c r="E39" t="s">
        <v>22</v>
      </c>
      <c r="F39" s="1">
        <v>7.9216</v>
      </c>
      <c r="G39" s="1">
        <v>0.3799</v>
      </c>
      <c r="H39">
        <v>1.462</v>
      </c>
      <c r="I39" s="1">
        <v>0.1998</v>
      </c>
      <c r="J39">
        <v>0.556</v>
      </c>
      <c r="K39">
        <v>2</v>
      </c>
      <c r="L39">
        <v>3</v>
      </c>
      <c r="M39">
        <v>8</v>
      </c>
      <c r="N39">
        <v>2</v>
      </c>
      <c r="O39">
        <v>5</v>
      </c>
      <c r="P39">
        <v>5</v>
      </c>
      <c r="Q39">
        <v>3.9</v>
      </c>
      <c r="R39">
        <v>51</v>
      </c>
      <c r="S39" t="s">
        <v>23</v>
      </c>
      <c r="T39" t="s">
        <v>24</v>
      </c>
      <c r="U39">
        <f t="shared" si="1"/>
        <v>10</v>
      </c>
    </row>
    <row r="40" spans="2:21">
      <c r="B40" t="s">
        <v>77</v>
      </c>
      <c r="C40" t="s">
        <v>73</v>
      </c>
      <c r="D40" t="s">
        <v>21</v>
      </c>
      <c r="E40" t="s">
        <v>22</v>
      </c>
      <c r="F40" s="1">
        <v>7.9044</v>
      </c>
      <c r="G40" s="1">
        <v>0.3795</v>
      </c>
      <c r="H40">
        <v>1.46</v>
      </c>
      <c r="I40" s="1">
        <v>0.1998</v>
      </c>
      <c r="J40">
        <v>0.512</v>
      </c>
      <c r="K40">
        <v>2</v>
      </c>
      <c r="L40">
        <v>2</v>
      </c>
      <c r="M40">
        <v>2</v>
      </c>
      <c r="N40">
        <v>3</v>
      </c>
      <c r="O40">
        <v>5</v>
      </c>
      <c r="P40">
        <v>5</v>
      </c>
      <c r="Q40">
        <v>4.3</v>
      </c>
      <c r="R40">
        <v>62.5</v>
      </c>
      <c r="S40" t="s">
        <v>23</v>
      </c>
      <c r="T40" t="s">
        <v>24</v>
      </c>
      <c r="U40">
        <f t="shared" si="1"/>
        <v>10</v>
      </c>
    </row>
    <row r="41" hidden="1" spans="2:21">
      <c r="B41" t="s">
        <v>78</v>
      </c>
      <c r="C41" t="s">
        <v>73</v>
      </c>
      <c r="D41" t="s">
        <v>21</v>
      </c>
      <c r="E41" t="s">
        <v>22</v>
      </c>
      <c r="F41" s="1">
        <v>8.8257</v>
      </c>
      <c r="G41" s="1">
        <v>0.3997</v>
      </c>
      <c r="H41">
        <v>1.457</v>
      </c>
      <c r="I41" s="1">
        <v>0.2776</v>
      </c>
      <c r="J41">
        <v>0.577</v>
      </c>
      <c r="K41">
        <v>2</v>
      </c>
      <c r="L41">
        <v>3</v>
      </c>
      <c r="M41">
        <v>8</v>
      </c>
      <c r="N41">
        <v>3</v>
      </c>
      <c r="O41">
        <v>5</v>
      </c>
      <c r="P41">
        <v>4</v>
      </c>
      <c r="Q41">
        <v>3.8</v>
      </c>
      <c r="R41">
        <v>50.5</v>
      </c>
      <c r="S41" t="s">
        <v>23</v>
      </c>
      <c r="T41" t="s">
        <v>24</v>
      </c>
      <c r="U41">
        <f t="shared" si="1"/>
        <v>9</v>
      </c>
    </row>
    <row r="42" hidden="1" spans="2:21">
      <c r="B42" t="s">
        <v>79</v>
      </c>
      <c r="C42" t="s">
        <v>39</v>
      </c>
      <c r="D42" t="s">
        <v>21</v>
      </c>
      <c r="E42" t="s">
        <v>22</v>
      </c>
      <c r="F42" s="1">
        <v>7.0027</v>
      </c>
      <c r="G42" s="1">
        <v>0.358</v>
      </c>
      <c r="H42">
        <v>1.441</v>
      </c>
      <c r="I42" s="1">
        <v>0.1848</v>
      </c>
      <c r="J42">
        <v>0.627</v>
      </c>
      <c r="K42">
        <v>3</v>
      </c>
      <c r="L42">
        <v>3</v>
      </c>
      <c r="M42">
        <v>8</v>
      </c>
      <c r="N42">
        <v>4</v>
      </c>
      <c r="O42">
        <v>4</v>
      </c>
      <c r="P42">
        <v>5</v>
      </c>
      <c r="Q42">
        <v>4.5</v>
      </c>
      <c r="R42">
        <v>54</v>
      </c>
      <c r="S42" t="s">
        <v>23</v>
      </c>
      <c r="T42" t="s">
        <v>24</v>
      </c>
      <c r="U42">
        <f t="shared" si="1"/>
        <v>9</v>
      </c>
    </row>
    <row r="43" hidden="1" spans="2:21">
      <c r="B43" t="s">
        <v>80</v>
      </c>
      <c r="C43" t="s">
        <v>39</v>
      </c>
      <c r="D43" t="s">
        <v>21</v>
      </c>
      <c r="E43" t="s">
        <v>22</v>
      </c>
      <c r="F43" s="1">
        <v>8.6052</v>
      </c>
      <c r="G43" s="1">
        <v>0.395</v>
      </c>
      <c r="H43">
        <v>1.438</v>
      </c>
      <c r="I43" s="1">
        <v>0.297</v>
      </c>
      <c r="J43">
        <v>0.598</v>
      </c>
      <c r="K43">
        <v>2</v>
      </c>
      <c r="L43">
        <v>3</v>
      </c>
      <c r="M43">
        <v>4</v>
      </c>
      <c r="N43">
        <v>7</v>
      </c>
      <c r="O43">
        <v>3</v>
      </c>
      <c r="P43">
        <v>5</v>
      </c>
      <c r="Q43">
        <v>5.4</v>
      </c>
      <c r="R43">
        <v>64.3</v>
      </c>
      <c r="S43" t="s">
        <v>23</v>
      </c>
      <c r="T43" t="s">
        <v>24</v>
      </c>
      <c r="U43">
        <f t="shared" si="1"/>
        <v>8</v>
      </c>
    </row>
    <row r="44" hidden="1" spans="2:21">
      <c r="B44" t="s">
        <v>81</v>
      </c>
      <c r="C44" t="s">
        <v>39</v>
      </c>
      <c r="D44" t="s">
        <v>21</v>
      </c>
      <c r="E44" t="s">
        <v>22</v>
      </c>
      <c r="F44" s="1">
        <v>8.6052</v>
      </c>
      <c r="G44" s="1">
        <v>0.395</v>
      </c>
      <c r="H44">
        <v>1.438</v>
      </c>
      <c r="I44" s="1">
        <v>0.297</v>
      </c>
      <c r="J44">
        <v>0.598</v>
      </c>
      <c r="K44">
        <v>2</v>
      </c>
      <c r="L44">
        <v>5</v>
      </c>
      <c r="M44">
        <v>8</v>
      </c>
      <c r="N44">
        <v>5</v>
      </c>
      <c r="O44">
        <v>3</v>
      </c>
      <c r="P44">
        <v>5</v>
      </c>
      <c r="Q44">
        <v>4.6</v>
      </c>
      <c r="R44">
        <v>51.9</v>
      </c>
      <c r="S44" t="s">
        <v>23</v>
      </c>
      <c r="T44" t="s">
        <v>24</v>
      </c>
      <c r="U44">
        <f t="shared" si="1"/>
        <v>8</v>
      </c>
    </row>
    <row r="45" hidden="1" spans="2:21">
      <c r="B45" t="s">
        <v>82</v>
      </c>
      <c r="C45" t="s">
        <v>58</v>
      </c>
      <c r="D45" t="s">
        <v>21</v>
      </c>
      <c r="E45" t="s">
        <v>22</v>
      </c>
      <c r="F45" s="1">
        <v>12.3373</v>
      </c>
      <c r="G45" s="1">
        <v>0.464</v>
      </c>
      <c r="H45">
        <v>1.397</v>
      </c>
      <c r="I45" s="1">
        <v>0.4965</v>
      </c>
      <c r="J45">
        <v>0.661</v>
      </c>
      <c r="K45">
        <v>3</v>
      </c>
      <c r="L45">
        <v>6</v>
      </c>
      <c r="M45">
        <v>5</v>
      </c>
      <c r="N45">
        <v>7</v>
      </c>
      <c r="O45">
        <v>4</v>
      </c>
      <c r="P45">
        <v>5</v>
      </c>
      <c r="Q45">
        <v>5.5</v>
      </c>
      <c r="R45">
        <v>57.7</v>
      </c>
      <c r="S45" t="s">
        <v>23</v>
      </c>
      <c r="T45" t="s">
        <v>24</v>
      </c>
      <c r="U45">
        <f t="shared" si="1"/>
        <v>9</v>
      </c>
    </row>
    <row r="46" hidden="1" spans="2:21">
      <c r="B46" t="s">
        <v>83</v>
      </c>
      <c r="C46" t="s">
        <v>39</v>
      </c>
      <c r="D46" t="s">
        <v>21</v>
      </c>
      <c r="E46" t="s">
        <v>22</v>
      </c>
      <c r="F46" s="1">
        <v>13.2657</v>
      </c>
      <c r="G46" s="1">
        <v>0.4786</v>
      </c>
      <c r="H46">
        <v>1.396</v>
      </c>
      <c r="I46" s="1">
        <v>0.4737</v>
      </c>
      <c r="J46">
        <v>0.643</v>
      </c>
      <c r="K46">
        <v>2</v>
      </c>
      <c r="L46">
        <v>2</v>
      </c>
      <c r="M46">
        <v>8</v>
      </c>
      <c r="N46">
        <v>3</v>
      </c>
      <c r="O46">
        <v>3</v>
      </c>
      <c r="P46">
        <v>5</v>
      </c>
      <c r="Q46">
        <v>3.9</v>
      </c>
      <c r="R46">
        <v>53.8</v>
      </c>
      <c r="S46" t="s">
        <v>23</v>
      </c>
      <c r="T46" t="s">
        <v>24</v>
      </c>
      <c r="U46">
        <f t="shared" si="1"/>
        <v>8</v>
      </c>
    </row>
    <row r="47" hidden="1" spans="2:21">
      <c r="B47" t="s">
        <v>84</v>
      </c>
      <c r="C47" t="s">
        <v>39</v>
      </c>
      <c r="D47" t="s">
        <v>21</v>
      </c>
      <c r="E47" t="s">
        <v>22</v>
      </c>
      <c r="F47" s="1">
        <v>13.2657</v>
      </c>
      <c r="G47" s="1">
        <v>0.4786</v>
      </c>
      <c r="H47">
        <v>1.396</v>
      </c>
      <c r="I47" s="1">
        <v>0.4737</v>
      </c>
      <c r="J47">
        <v>0.643</v>
      </c>
      <c r="K47">
        <v>3</v>
      </c>
      <c r="L47">
        <v>6</v>
      </c>
      <c r="M47">
        <v>5</v>
      </c>
      <c r="N47">
        <v>7</v>
      </c>
      <c r="O47">
        <v>5</v>
      </c>
      <c r="P47">
        <v>4</v>
      </c>
      <c r="Q47">
        <v>5.3</v>
      </c>
      <c r="R47">
        <v>55.2</v>
      </c>
      <c r="S47" t="s">
        <v>23</v>
      </c>
      <c r="T47" t="s">
        <v>24</v>
      </c>
      <c r="U47">
        <f t="shared" si="1"/>
        <v>9</v>
      </c>
    </row>
    <row r="48" spans="2:21">
      <c r="B48" t="s">
        <v>85</v>
      </c>
      <c r="C48" t="s">
        <v>73</v>
      </c>
      <c r="D48" t="s">
        <v>21</v>
      </c>
      <c r="E48" t="s">
        <v>22</v>
      </c>
      <c r="F48" s="1">
        <v>6.5181</v>
      </c>
      <c r="G48" s="1">
        <v>0.3456</v>
      </c>
      <c r="H48">
        <v>1.376</v>
      </c>
      <c r="I48" s="1">
        <v>0.27</v>
      </c>
      <c r="J48">
        <v>0.698</v>
      </c>
      <c r="K48">
        <v>2</v>
      </c>
      <c r="L48">
        <v>3</v>
      </c>
      <c r="M48">
        <v>2</v>
      </c>
      <c r="N48">
        <v>4</v>
      </c>
      <c r="O48">
        <v>5</v>
      </c>
      <c r="P48">
        <v>5</v>
      </c>
      <c r="Q48">
        <v>4.6</v>
      </c>
      <c r="R48">
        <v>63.7</v>
      </c>
      <c r="S48" t="s">
        <v>23</v>
      </c>
      <c r="T48" t="s">
        <v>24</v>
      </c>
      <c r="U48">
        <f t="shared" si="1"/>
        <v>10</v>
      </c>
    </row>
    <row r="49" hidden="1" spans="2:21">
      <c r="B49" t="s">
        <v>86</v>
      </c>
      <c r="C49" t="s">
        <v>87</v>
      </c>
      <c r="D49" t="s">
        <v>21</v>
      </c>
      <c r="E49" t="s">
        <v>22</v>
      </c>
      <c r="F49" s="1">
        <v>3.4476</v>
      </c>
      <c r="G49" s="1">
        <v>0.2456</v>
      </c>
      <c r="H49">
        <v>1.351</v>
      </c>
      <c r="I49" s="1">
        <v>0.2164</v>
      </c>
      <c r="J49">
        <v>0.579</v>
      </c>
      <c r="K49">
        <v>2</v>
      </c>
      <c r="L49">
        <v>6</v>
      </c>
      <c r="M49">
        <v>2</v>
      </c>
      <c r="N49">
        <v>3</v>
      </c>
      <c r="O49">
        <v>5</v>
      </c>
      <c r="P49">
        <v>4</v>
      </c>
      <c r="Q49">
        <v>3.8</v>
      </c>
      <c r="R49">
        <v>50.8</v>
      </c>
      <c r="S49" t="s">
        <v>23</v>
      </c>
      <c r="T49" t="s">
        <v>24</v>
      </c>
      <c r="U49">
        <f t="shared" si="1"/>
        <v>9</v>
      </c>
    </row>
    <row r="50" spans="2:21">
      <c r="B50" t="s">
        <v>88</v>
      </c>
      <c r="C50" t="s">
        <v>39</v>
      </c>
      <c r="D50" t="s">
        <v>21</v>
      </c>
      <c r="E50" t="s">
        <v>22</v>
      </c>
      <c r="F50" s="1">
        <v>11.5387</v>
      </c>
      <c r="G50" s="1">
        <v>0.4508</v>
      </c>
      <c r="H50">
        <v>1.34</v>
      </c>
      <c r="I50" s="1">
        <v>0.4187</v>
      </c>
      <c r="J50">
        <v>0.608</v>
      </c>
      <c r="K50">
        <v>3</v>
      </c>
      <c r="L50">
        <v>5</v>
      </c>
      <c r="M50">
        <v>6</v>
      </c>
      <c r="N50">
        <v>7</v>
      </c>
      <c r="O50">
        <v>6</v>
      </c>
      <c r="P50">
        <v>5</v>
      </c>
      <c r="Q50">
        <v>5.9</v>
      </c>
      <c r="R50">
        <v>59.8</v>
      </c>
      <c r="S50" t="s">
        <v>23</v>
      </c>
      <c r="T50" t="s">
        <v>24</v>
      </c>
      <c r="U50">
        <f t="shared" si="1"/>
        <v>11</v>
      </c>
    </row>
    <row r="51" spans="2:21">
      <c r="B51" t="s">
        <v>89</v>
      </c>
      <c r="C51" t="s">
        <v>20</v>
      </c>
      <c r="D51" t="s">
        <v>21</v>
      </c>
      <c r="E51" t="s">
        <v>22</v>
      </c>
      <c r="F51" s="1">
        <v>11.837</v>
      </c>
      <c r="G51" s="1">
        <v>0.4558</v>
      </c>
      <c r="H51">
        <v>1.331</v>
      </c>
      <c r="I51" s="1">
        <v>0.5054</v>
      </c>
      <c r="J51">
        <v>0.653</v>
      </c>
      <c r="K51">
        <v>3</v>
      </c>
      <c r="L51">
        <v>6</v>
      </c>
      <c r="M51">
        <v>5</v>
      </c>
      <c r="N51">
        <v>8</v>
      </c>
      <c r="O51">
        <v>6</v>
      </c>
      <c r="P51">
        <v>5</v>
      </c>
      <c r="Q51">
        <v>6.3</v>
      </c>
      <c r="R51">
        <v>62.7</v>
      </c>
      <c r="S51" t="s">
        <v>23</v>
      </c>
      <c r="T51" t="s">
        <v>24</v>
      </c>
      <c r="U51">
        <f t="shared" si="1"/>
        <v>11</v>
      </c>
    </row>
    <row r="52" spans="2:21">
      <c r="B52" t="s">
        <v>90</v>
      </c>
      <c r="C52" t="s">
        <v>20</v>
      </c>
      <c r="D52" t="s">
        <v>21</v>
      </c>
      <c r="E52" t="s">
        <v>22</v>
      </c>
      <c r="F52" s="1">
        <v>11.837</v>
      </c>
      <c r="G52" s="1">
        <v>0.4558</v>
      </c>
      <c r="H52">
        <v>1.331</v>
      </c>
      <c r="I52" s="1">
        <v>0.5054</v>
      </c>
      <c r="J52">
        <v>0.653</v>
      </c>
      <c r="K52">
        <v>3</v>
      </c>
      <c r="L52">
        <v>6</v>
      </c>
      <c r="M52">
        <v>6</v>
      </c>
      <c r="N52">
        <v>7</v>
      </c>
      <c r="O52">
        <v>6</v>
      </c>
      <c r="P52">
        <v>5</v>
      </c>
      <c r="Q52">
        <v>5.9</v>
      </c>
      <c r="R52">
        <v>57</v>
      </c>
      <c r="S52" t="s">
        <v>23</v>
      </c>
      <c r="T52" t="s">
        <v>24</v>
      </c>
      <c r="U52">
        <f t="shared" si="1"/>
        <v>11</v>
      </c>
    </row>
    <row r="53" spans="2:21">
      <c r="B53" t="s">
        <v>91</v>
      </c>
      <c r="C53" t="s">
        <v>92</v>
      </c>
      <c r="D53" t="s">
        <v>21</v>
      </c>
      <c r="E53" t="s">
        <v>22</v>
      </c>
      <c r="F53" s="1">
        <v>3.4727</v>
      </c>
      <c r="G53" s="1">
        <v>0.2466</v>
      </c>
      <c r="H53">
        <v>1.319</v>
      </c>
      <c r="I53" s="1">
        <v>0.2787</v>
      </c>
      <c r="J53">
        <v>0.672</v>
      </c>
      <c r="K53">
        <v>2</v>
      </c>
      <c r="L53">
        <v>6</v>
      </c>
      <c r="M53">
        <v>5</v>
      </c>
      <c r="N53">
        <v>7</v>
      </c>
      <c r="O53">
        <v>6</v>
      </c>
      <c r="P53">
        <v>5</v>
      </c>
      <c r="Q53">
        <v>5.9</v>
      </c>
      <c r="R53">
        <v>58.7</v>
      </c>
      <c r="S53" t="s">
        <v>23</v>
      </c>
      <c r="T53" t="s">
        <v>24</v>
      </c>
      <c r="U53">
        <f t="shared" ref="U53:U84" si="2">O53+P53</f>
        <v>11</v>
      </c>
    </row>
    <row r="54" hidden="1" spans="2:21">
      <c r="B54" t="s">
        <v>93</v>
      </c>
      <c r="C54" t="s">
        <v>94</v>
      </c>
      <c r="D54" t="s">
        <v>21</v>
      </c>
      <c r="E54" t="s">
        <v>22</v>
      </c>
      <c r="F54" s="1">
        <v>2.1004</v>
      </c>
      <c r="G54" s="1">
        <v>0.1812</v>
      </c>
      <c r="H54">
        <v>1.306</v>
      </c>
      <c r="I54" s="1">
        <v>0.1212</v>
      </c>
      <c r="J54">
        <v>0.985</v>
      </c>
      <c r="K54">
        <v>2</v>
      </c>
      <c r="L54">
        <v>2</v>
      </c>
      <c r="M54">
        <v>8</v>
      </c>
      <c r="N54">
        <v>2</v>
      </c>
      <c r="O54">
        <v>3</v>
      </c>
      <c r="P54">
        <v>6</v>
      </c>
      <c r="Q54">
        <v>4</v>
      </c>
      <c r="R54">
        <v>54.8</v>
      </c>
      <c r="S54" t="s">
        <v>23</v>
      </c>
      <c r="T54" t="s">
        <v>24</v>
      </c>
      <c r="U54">
        <f t="shared" si="2"/>
        <v>9</v>
      </c>
    </row>
    <row r="55" spans="2:21">
      <c r="B55" t="s">
        <v>95</v>
      </c>
      <c r="C55" t="s">
        <v>96</v>
      </c>
      <c r="D55" t="s">
        <v>21</v>
      </c>
      <c r="E55" t="s">
        <v>22</v>
      </c>
      <c r="F55" s="1">
        <v>5.5603</v>
      </c>
      <c r="G55" s="1">
        <v>0.3189</v>
      </c>
      <c r="H55">
        <v>1.297</v>
      </c>
      <c r="I55" s="1">
        <v>0.1737</v>
      </c>
      <c r="J55">
        <v>0.596</v>
      </c>
      <c r="K55">
        <v>2</v>
      </c>
      <c r="L55">
        <v>3</v>
      </c>
      <c r="M55">
        <v>4</v>
      </c>
      <c r="N55">
        <v>3</v>
      </c>
      <c r="O55">
        <v>5</v>
      </c>
      <c r="P55">
        <v>5</v>
      </c>
      <c r="Q55">
        <v>4.3</v>
      </c>
      <c r="R55">
        <v>57.3</v>
      </c>
      <c r="S55" t="s">
        <v>23</v>
      </c>
      <c r="T55" t="s">
        <v>24</v>
      </c>
      <c r="U55">
        <f t="shared" si="2"/>
        <v>10</v>
      </c>
    </row>
    <row r="56" spans="2:21">
      <c r="B56" t="s">
        <v>97</v>
      </c>
      <c r="C56" t="s">
        <v>73</v>
      </c>
      <c r="D56" t="s">
        <v>21</v>
      </c>
      <c r="E56" t="s">
        <v>22</v>
      </c>
      <c r="F56" s="1">
        <v>7.2018</v>
      </c>
      <c r="G56" s="1">
        <v>0.3629</v>
      </c>
      <c r="H56">
        <v>1.29</v>
      </c>
      <c r="I56" s="1">
        <v>0.2175</v>
      </c>
      <c r="J56">
        <v>0.503</v>
      </c>
      <c r="K56">
        <v>2</v>
      </c>
      <c r="L56">
        <v>3</v>
      </c>
      <c r="M56">
        <v>7</v>
      </c>
      <c r="N56">
        <v>6</v>
      </c>
      <c r="O56">
        <v>5</v>
      </c>
      <c r="P56">
        <v>5</v>
      </c>
      <c r="Q56">
        <v>5.4</v>
      </c>
      <c r="R56">
        <v>59.2</v>
      </c>
      <c r="S56" t="s">
        <v>23</v>
      </c>
      <c r="T56" t="s">
        <v>24</v>
      </c>
      <c r="U56">
        <f t="shared" si="2"/>
        <v>10</v>
      </c>
    </row>
    <row r="57" spans="2:21">
      <c r="B57" t="s">
        <v>98</v>
      </c>
      <c r="C57" t="s">
        <v>73</v>
      </c>
      <c r="D57" t="s">
        <v>21</v>
      </c>
      <c r="E57" t="s">
        <v>22</v>
      </c>
      <c r="F57" s="1">
        <v>8.5316</v>
      </c>
      <c r="G57" s="1">
        <v>0.3934</v>
      </c>
      <c r="H57">
        <v>1.272</v>
      </c>
      <c r="I57" s="1">
        <v>0.332</v>
      </c>
      <c r="J57">
        <v>0.521</v>
      </c>
      <c r="K57">
        <v>2</v>
      </c>
      <c r="L57">
        <v>3</v>
      </c>
      <c r="M57">
        <v>7</v>
      </c>
      <c r="N57">
        <v>6</v>
      </c>
      <c r="O57">
        <v>5</v>
      </c>
      <c r="P57">
        <v>5</v>
      </c>
      <c r="Q57">
        <v>5.4</v>
      </c>
      <c r="R57">
        <v>58.7</v>
      </c>
      <c r="S57" t="s">
        <v>23</v>
      </c>
      <c r="T57" t="s">
        <v>24</v>
      </c>
      <c r="U57">
        <f t="shared" si="2"/>
        <v>10</v>
      </c>
    </row>
    <row r="58" spans="2:21">
      <c r="B58" t="s">
        <v>99</v>
      </c>
      <c r="C58" t="s">
        <v>73</v>
      </c>
      <c r="D58" t="s">
        <v>21</v>
      </c>
      <c r="E58" t="s">
        <v>22</v>
      </c>
      <c r="F58" s="1">
        <v>6.9217</v>
      </c>
      <c r="G58" s="1">
        <v>0.356</v>
      </c>
      <c r="H58">
        <v>1.256</v>
      </c>
      <c r="I58" s="1">
        <v>0.2862</v>
      </c>
      <c r="J58">
        <v>0.602</v>
      </c>
      <c r="K58">
        <v>2</v>
      </c>
      <c r="L58">
        <v>3</v>
      </c>
      <c r="M58">
        <v>3</v>
      </c>
      <c r="N58">
        <v>2</v>
      </c>
      <c r="O58">
        <v>5</v>
      </c>
      <c r="P58">
        <v>5</v>
      </c>
      <c r="Q58">
        <v>3.9</v>
      </c>
      <c r="R58">
        <v>57</v>
      </c>
      <c r="S58" t="s">
        <v>23</v>
      </c>
      <c r="T58" t="s">
        <v>24</v>
      </c>
      <c r="U58">
        <f t="shared" si="2"/>
        <v>10</v>
      </c>
    </row>
    <row r="59" hidden="1" spans="2:21">
      <c r="B59" t="s">
        <v>100</v>
      </c>
      <c r="C59" t="s">
        <v>101</v>
      </c>
      <c r="D59" t="s">
        <v>21</v>
      </c>
      <c r="E59" t="s">
        <v>22</v>
      </c>
      <c r="F59" s="1">
        <v>8.2242</v>
      </c>
      <c r="G59" s="1">
        <v>0.3867</v>
      </c>
      <c r="H59">
        <v>1.244</v>
      </c>
      <c r="I59" s="1">
        <v>0.4224</v>
      </c>
      <c r="J59">
        <v>0.646</v>
      </c>
      <c r="K59">
        <v>2</v>
      </c>
      <c r="L59">
        <v>6</v>
      </c>
      <c r="M59">
        <v>6</v>
      </c>
      <c r="N59">
        <v>7</v>
      </c>
      <c r="O59">
        <v>3</v>
      </c>
      <c r="P59">
        <v>4</v>
      </c>
      <c r="Q59">
        <v>4.9</v>
      </c>
      <c r="R59">
        <v>52</v>
      </c>
      <c r="S59" t="s">
        <v>23</v>
      </c>
      <c r="T59" t="s">
        <v>24</v>
      </c>
      <c r="U59">
        <f t="shared" si="2"/>
        <v>7</v>
      </c>
    </row>
    <row r="60" spans="2:21">
      <c r="B60" t="s">
        <v>102</v>
      </c>
      <c r="C60" t="s">
        <v>103</v>
      </c>
      <c r="D60" t="s">
        <v>21</v>
      </c>
      <c r="E60" t="s">
        <v>22</v>
      </c>
      <c r="F60" s="1">
        <v>8.4369</v>
      </c>
      <c r="G60" s="1">
        <v>0.3914</v>
      </c>
      <c r="H60">
        <v>1.238</v>
      </c>
      <c r="I60" s="1">
        <v>0.4393</v>
      </c>
      <c r="J60">
        <v>0.646</v>
      </c>
      <c r="K60">
        <v>2</v>
      </c>
      <c r="L60">
        <v>6</v>
      </c>
      <c r="M60">
        <v>6</v>
      </c>
      <c r="N60">
        <v>7</v>
      </c>
      <c r="O60">
        <v>5</v>
      </c>
      <c r="P60">
        <v>5</v>
      </c>
      <c r="Q60">
        <v>5.7</v>
      </c>
      <c r="R60">
        <v>57</v>
      </c>
      <c r="S60" t="s">
        <v>23</v>
      </c>
      <c r="T60" t="s">
        <v>24</v>
      </c>
      <c r="U60">
        <f t="shared" si="2"/>
        <v>10</v>
      </c>
    </row>
    <row r="61" hidden="1" spans="2:21">
      <c r="B61" t="s">
        <v>104</v>
      </c>
      <c r="C61" t="s">
        <v>105</v>
      </c>
      <c r="D61" t="s">
        <v>21</v>
      </c>
      <c r="E61" t="s">
        <v>22</v>
      </c>
      <c r="F61" s="1">
        <v>1.2166</v>
      </c>
      <c r="G61" s="1">
        <v>0.1243</v>
      </c>
      <c r="H61">
        <v>1.231</v>
      </c>
      <c r="I61" s="1">
        <v>0.0581</v>
      </c>
      <c r="J61">
        <v>0.865</v>
      </c>
      <c r="K61">
        <v>2</v>
      </c>
      <c r="L61">
        <v>3</v>
      </c>
      <c r="M61">
        <v>8</v>
      </c>
      <c r="N61">
        <v>3</v>
      </c>
      <c r="O61">
        <v>4</v>
      </c>
      <c r="P61">
        <v>5</v>
      </c>
      <c r="Q61">
        <v>4.1</v>
      </c>
      <c r="R61">
        <v>52.5</v>
      </c>
      <c r="S61" t="s">
        <v>23</v>
      </c>
      <c r="T61" t="s">
        <v>24</v>
      </c>
      <c r="U61">
        <f t="shared" si="2"/>
        <v>9</v>
      </c>
    </row>
    <row r="62" spans="2:21">
      <c r="B62" t="s">
        <v>106</v>
      </c>
      <c r="C62" t="s">
        <v>39</v>
      </c>
      <c r="D62" t="s">
        <v>21</v>
      </c>
      <c r="E62" t="s">
        <v>22</v>
      </c>
      <c r="F62" s="1">
        <v>4.7514</v>
      </c>
      <c r="G62" s="1">
        <v>0.2936</v>
      </c>
      <c r="H62">
        <v>1.217</v>
      </c>
      <c r="I62" s="1">
        <v>0.1927</v>
      </c>
      <c r="J62">
        <v>0.609</v>
      </c>
      <c r="K62">
        <v>3</v>
      </c>
      <c r="L62">
        <v>3</v>
      </c>
      <c r="M62">
        <v>4</v>
      </c>
      <c r="N62">
        <v>6</v>
      </c>
      <c r="O62">
        <v>5</v>
      </c>
      <c r="P62">
        <v>5</v>
      </c>
      <c r="Q62">
        <v>5.4</v>
      </c>
      <c r="R62">
        <v>64.3</v>
      </c>
      <c r="S62" t="s">
        <v>23</v>
      </c>
      <c r="T62" t="s">
        <v>24</v>
      </c>
      <c r="U62">
        <f t="shared" si="2"/>
        <v>10</v>
      </c>
    </row>
    <row r="63" spans="2:21">
      <c r="B63" t="s">
        <v>107</v>
      </c>
      <c r="C63" t="s">
        <v>39</v>
      </c>
      <c r="D63" t="s">
        <v>21</v>
      </c>
      <c r="E63" t="s">
        <v>22</v>
      </c>
      <c r="F63" s="1">
        <v>4.7514</v>
      </c>
      <c r="G63" s="1">
        <v>0.2936</v>
      </c>
      <c r="H63">
        <v>1.217</v>
      </c>
      <c r="I63" s="1">
        <v>0.1927</v>
      </c>
      <c r="J63">
        <v>0.609</v>
      </c>
      <c r="K63">
        <v>2</v>
      </c>
      <c r="L63">
        <v>4</v>
      </c>
      <c r="M63">
        <v>6</v>
      </c>
      <c r="N63">
        <v>6</v>
      </c>
      <c r="O63">
        <v>5</v>
      </c>
      <c r="P63">
        <v>5</v>
      </c>
      <c r="Q63">
        <v>5.4</v>
      </c>
      <c r="R63">
        <v>59.6</v>
      </c>
      <c r="S63" t="s">
        <v>23</v>
      </c>
      <c r="T63" t="s">
        <v>24</v>
      </c>
      <c r="U63">
        <f t="shared" si="2"/>
        <v>10</v>
      </c>
    </row>
    <row r="64" spans="2:21">
      <c r="B64" t="s">
        <v>108</v>
      </c>
      <c r="C64" t="s">
        <v>39</v>
      </c>
      <c r="D64" t="s">
        <v>21</v>
      </c>
      <c r="E64" t="s">
        <v>22</v>
      </c>
      <c r="F64" s="1">
        <v>4.7514</v>
      </c>
      <c r="G64" s="1">
        <v>0.2936</v>
      </c>
      <c r="H64">
        <v>1.217</v>
      </c>
      <c r="I64" s="1">
        <v>0.1927</v>
      </c>
      <c r="J64">
        <v>0.609</v>
      </c>
      <c r="K64">
        <v>2</v>
      </c>
      <c r="L64">
        <v>4</v>
      </c>
      <c r="M64">
        <v>6</v>
      </c>
      <c r="N64">
        <v>6</v>
      </c>
      <c r="O64">
        <v>5</v>
      </c>
      <c r="P64">
        <v>5</v>
      </c>
      <c r="Q64">
        <v>5.4</v>
      </c>
      <c r="R64">
        <v>58.1</v>
      </c>
      <c r="S64" t="s">
        <v>23</v>
      </c>
      <c r="T64" t="s">
        <v>24</v>
      </c>
      <c r="U64">
        <f t="shared" si="2"/>
        <v>10</v>
      </c>
    </row>
    <row r="65" spans="2:21">
      <c r="B65" t="s">
        <v>109</v>
      </c>
      <c r="C65" t="s">
        <v>73</v>
      </c>
      <c r="D65" t="s">
        <v>21</v>
      </c>
      <c r="E65" t="s">
        <v>22</v>
      </c>
      <c r="F65" s="1">
        <v>6.7709</v>
      </c>
      <c r="G65" s="1">
        <v>0.3522</v>
      </c>
      <c r="H65">
        <v>1.199</v>
      </c>
      <c r="I65" s="1">
        <v>0.3059</v>
      </c>
      <c r="J65">
        <v>0.558</v>
      </c>
      <c r="K65">
        <v>2</v>
      </c>
      <c r="L65">
        <v>2</v>
      </c>
      <c r="M65">
        <v>8</v>
      </c>
      <c r="N65">
        <v>3</v>
      </c>
      <c r="O65">
        <v>5</v>
      </c>
      <c r="P65">
        <v>6</v>
      </c>
      <c r="Q65">
        <v>4.7</v>
      </c>
      <c r="R65">
        <v>58.3</v>
      </c>
      <c r="S65" t="s">
        <v>23</v>
      </c>
      <c r="T65" t="s">
        <v>24</v>
      </c>
      <c r="U65">
        <f t="shared" si="2"/>
        <v>11</v>
      </c>
    </row>
    <row r="66" hidden="1" spans="2:21">
      <c r="B66" t="s">
        <v>110</v>
      </c>
      <c r="C66" t="s">
        <v>51</v>
      </c>
      <c r="D66" t="s">
        <v>21</v>
      </c>
      <c r="E66" t="s">
        <v>22</v>
      </c>
      <c r="F66" s="1">
        <v>3.5754</v>
      </c>
      <c r="G66" s="1">
        <v>0.2508</v>
      </c>
      <c r="H66">
        <v>1.179</v>
      </c>
      <c r="I66" s="1">
        <v>0.1682</v>
      </c>
      <c r="J66">
        <v>0.825</v>
      </c>
      <c r="K66">
        <v>3</v>
      </c>
      <c r="L66">
        <v>2</v>
      </c>
      <c r="M66">
        <v>8</v>
      </c>
      <c r="N66">
        <v>4</v>
      </c>
      <c r="O66">
        <v>4</v>
      </c>
      <c r="P66">
        <v>5</v>
      </c>
      <c r="Q66">
        <v>4.5</v>
      </c>
      <c r="R66">
        <v>55.8</v>
      </c>
      <c r="S66" t="s">
        <v>23</v>
      </c>
      <c r="T66" t="s">
        <v>24</v>
      </c>
      <c r="U66">
        <f t="shared" si="2"/>
        <v>9</v>
      </c>
    </row>
    <row r="67" hidden="1" spans="2:21">
      <c r="B67" t="s">
        <v>111</v>
      </c>
      <c r="C67" t="s">
        <v>44</v>
      </c>
      <c r="D67" t="s">
        <v>21</v>
      </c>
      <c r="E67" t="s">
        <v>22</v>
      </c>
      <c r="F67" s="1">
        <v>1.8015</v>
      </c>
      <c r="G67" s="1">
        <v>0.1637</v>
      </c>
      <c r="H67">
        <v>1.174</v>
      </c>
      <c r="I67" s="1">
        <v>0.1128</v>
      </c>
      <c r="J67">
        <v>0.561</v>
      </c>
      <c r="K67">
        <v>2</v>
      </c>
      <c r="L67">
        <v>3</v>
      </c>
      <c r="M67">
        <v>4</v>
      </c>
      <c r="N67">
        <v>6</v>
      </c>
      <c r="O67">
        <v>4</v>
      </c>
      <c r="P67">
        <v>5</v>
      </c>
      <c r="Q67">
        <v>5.2</v>
      </c>
      <c r="R67">
        <v>62.8</v>
      </c>
      <c r="S67" t="s">
        <v>23</v>
      </c>
      <c r="T67" t="s">
        <v>24</v>
      </c>
      <c r="U67">
        <f t="shared" si="2"/>
        <v>9</v>
      </c>
    </row>
    <row r="68" spans="2:21">
      <c r="B68" t="s">
        <v>112</v>
      </c>
      <c r="C68" t="s">
        <v>20</v>
      </c>
      <c r="D68" t="s">
        <v>21</v>
      </c>
      <c r="E68" t="s">
        <v>22</v>
      </c>
      <c r="F68" s="1">
        <v>10.1627</v>
      </c>
      <c r="G68" s="1">
        <v>0.4262</v>
      </c>
      <c r="H68">
        <v>1.174</v>
      </c>
      <c r="I68" s="1">
        <v>0.4616</v>
      </c>
      <c r="J68">
        <v>0.648</v>
      </c>
      <c r="K68">
        <v>2</v>
      </c>
      <c r="L68">
        <v>6</v>
      </c>
      <c r="M68">
        <v>5</v>
      </c>
      <c r="N68">
        <v>8</v>
      </c>
      <c r="O68">
        <v>5</v>
      </c>
      <c r="P68">
        <v>5</v>
      </c>
      <c r="Q68">
        <v>6.1</v>
      </c>
      <c r="R68">
        <v>59.2</v>
      </c>
      <c r="S68" t="s">
        <v>23</v>
      </c>
      <c r="T68" t="s">
        <v>24</v>
      </c>
      <c r="U68">
        <f t="shared" si="2"/>
        <v>10</v>
      </c>
    </row>
    <row r="69" hidden="1" spans="2:21">
      <c r="B69" t="s">
        <v>113</v>
      </c>
      <c r="C69" t="s">
        <v>114</v>
      </c>
      <c r="D69" t="s">
        <v>21</v>
      </c>
      <c r="E69" t="s">
        <v>22</v>
      </c>
      <c r="F69" s="1">
        <v>5.622</v>
      </c>
      <c r="G69" s="1">
        <v>0.3207</v>
      </c>
      <c r="H69">
        <v>1.15</v>
      </c>
      <c r="I69" s="1">
        <v>0.3946</v>
      </c>
      <c r="J69">
        <v>0.481</v>
      </c>
      <c r="K69">
        <v>3</v>
      </c>
      <c r="L69">
        <v>4</v>
      </c>
      <c r="M69">
        <v>5</v>
      </c>
      <c r="N69">
        <v>7</v>
      </c>
      <c r="O69">
        <v>4</v>
      </c>
      <c r="P69">
        <v>5</v>
      </c>
      <c r="Q69">
        <v>5.5</v>
      </c>
      <c r="R69">
        <v>60.8</v>
      </c>
      <c r="S69" t="s">
        <v>23</v>
      </c>
      <c r="T69" t="s">
        <v>24</v>
      </c>
      <c r="U69">
        <f t="shared" si="2"/>
        <v>9</v>
      </c>
    </row>
    <row r="70" hidden="1" spans="2:21">
      <c r="B70" t="s">
        <v>115</v>
      </c>
      <c r="C70" t="s">
        <v>116</v>
      </c>
      <c r="D70" t="s">
        <v>21</v>
      </c>
      <c r="E70" t="s">
        <v>22</v>
      </c>
      <c r="F70" s="1">
        <v>1.5999</v>
      </c>
      <c r="G70" s="1">
        <v>0.151</v>
      </c>
      <c r="H70">
        <v>1.147</v>
      </c>
      <c r="I70" s="1">
        <v>0.1233</v>
      </c>
      <c r="J70">
        <v>0.71</v>
      </c>
      <c r="K70">
        <v>2</v>
      </c>
      <c r="L70">
        <v>2</v>
      </c>
      <c r="M70">
        <v>2</v>
      </c>
      <c r="N70">
        <v>3</v>
      </c>
      <c r="O70">
        <v>4</v>
      </c>
      <c r="P70">
        <v>5</v>
      </c>
      <c r="Q70">
        <v>4.1</v>
      </c>
      <c r="R70">
        <v>62</v>
      </c>
      <c r="S70" t="s">
        <v>23</v>
      </c>
      <c r="T70" t="s">
        <v>24</v>
      </c>
      <c r="U70">
        <f t="shared" si="2"/>
        <v>9</v>
      </c>
    </row>
    <row r="71" hidden="1" spans="2:21">
      <c r="B71" t="s">
        <v>117</v>
      </c>
      <c r="C71" t="s">
        <v>73</v>
      </c>
      <c r="D71" t="s">
        <v>21</v>
      </c>
      <c r="E71" t="s">
        <v>22</v>
      </c>
      <c r="F71" s="1">
        <v>6.3932</v>
      </c>
      <c r="G71" s="1">
        <v>0.3423</v>
      </c>
      <c r="H71">
        <v>1.131</v>
      </c>
      <c r="I71" s="1">
        <v>0.2551</v>
      </c>
      <c r="J71">
        <v>0.534</v>
      </c>
      <c r="K71">
        <v>2</v>
      </c>
      <c r="L71">
        <v>2</v>
      </c>
      <c r="M71">
        <v>2</v>
      </c>
      <c r="N71">
        <v>3</v>
      </c>
      <c r="O71">
        <v>4</v>
      </c>
      <c r="P71">
        <v>5</v>
      </c>
      <c r="Q71">
        <v>4.1</v>
      </c>
      <c r="R71">
        <v>61.5</v>
      </c>
      <c r="S71" t="s">
        <v>23</v>
      </c>
      <c r="T71" t="s">
        <v>24</v>
      </c>
      <c r="U71">
        <f t="shared" si="2"/>
        <v>9</v>
      </c>
    </row>
    <row r="72" spans="2:21">
      <c r="B72" t="s">
        <v>118</v>
      </c>
      <c r="C72" t="s">
        <v>73</v>
      </c>
      <c r="D72" t="s">
        <v>21</v>
      </c>
      <c r="E72" t="s">
        <v>22</v>
      </c>
      <c r="F72" s="1">
        <v>3.7975</v>
      </c>
      <c r="G72" s="1">
        <v>0.2595</v>
      </c>
      <c r="H72">
        <v>1.131</v>
      </c>
      <c r="I72" s="1">
        <v>0.1722</v>
      </c>
      <c r="J72">
        <v>0.626</v>
      </c>
      <c r="K72">
        <v>3</v>
      </c>
      <c r="L72">
        <v>3</v>
      </c>
      <c r="M72">
        <v>8</v>
      </c>
      <c r="N72">
        <v>4</v>
      </c>
      <c r="O72">
        <v>5</v>
      </c>
      <c r="P72">
        <v>5</v>
      </c>
      <c r="Q72">
        <v>4.6</v>
      </c>
      <c r="R72">
        <v>55</v>
      </c>
      <c r="S72" t="s">
        <v>23</v>
      </c>
      <c r="T72" t="s">
        <v>24</v>
      </c>
      <c r="U72">
        <f t="shared" si="2"/>
        <v>10</v>
      </c>
    </row>
    <row r="73" spans="2:21">
      <c r="B73" t="s">
        <v>119</v>
      </c>
      <c r="C73" t="s">
        <v>120</v>
      </c>
      <c r="D73" t="s">
        <v>21</v>
      </c>
      <c r="E73" t="s">
        <v>22</v>
      </c>
      <c r="F73" s="1">
        <v>6.3932</v>
      </c>
      <c r="G73" s="1">
        <v>0.3423</v>
      </c>
      <c r="H73">
        <v>1.131</v>
      </c>
      <c r="I73" s="1">
        <v>0.2551</v>
      </c>
      <c r="J73">
        <v>0.534</v>
      </c>
      <c r="K73">
        <v>2</v>
      </c>
      <c r="L73">
        <v>2</v>
      </c>
      <c r="M73">
        <v>9</v>
      </c>
      <c r="N73">
        <v>3</v>
      </c>
      <c r="O73">
        <v>5</v>
      </c>
      <c r="P73">
        <v>5</v>
      </c>
      <c r="Q73">
        <v>4.3</v>
      </c>
      <c r="R73">
        <v>52.6</v>
      </c>
      <c r="S73" t="s">
        <v>23</v>
      </c>
      <c r="T73" t="s">
        <v>24</v>
      </c>
      <c r="U73">
        <f t="shared" si="2"/>
        <v>10</v>
      </c>
    </row>
    <row r="74" hidden="1" spans="2:21">
      <c r="B74" t="s">
        <v>121</v>
      </c>
      <c r="C74" t="s">
        <v>39</v>
      </c>
      <c r="D74" t="s">
        <v>21</v>
      </c>
      <c r="E74" t="s">
        <v>22</v>
      </c>
      <c r="F74" s="1">
        <v>3.348</v>
      </c>
      <c r="G74" s="1">
        <v>0.2414</v>
      </c>
      <c r="H74">
        <v>1.125</v>
      </c>
      <c r="I74" s="1">
        <v>0.1792</v>
      </c>
      <c r="J74">
        <v>0.713</v>
      </c>
      <c r="K74">
        <v>3</v>
      </c>
      <c r="L74">
        <v>4</v>
      </c>
      <c r="M74">
        <v>6</v>
      </c>
      <c r="N74">
        <v>4</v>
      </c>
      <c r="O74">
        <v>3</v>
      </c>
      <c r="P74">
        <v>5</v>
      </c>
      <c r="Q74">
        <v>4.3</v>
      </c>
      <c r="R74">
        <v>54.1</v>
      </c>
      <c r="S74" t="s">
        <v>23</v>
      </c>
      <c r="T74" t="s">
        <v>24</v>
      </c>
      <c r="U74">
        <f t="shared" si="2"/>
        <v>8</v>
      </c>
    </row>
    <row r="75" spans="2:21">
      <c r="B75" t="s">
        <v>122</v>
      </c>
      <c r="C75" t="s">
        <v>123</v>
      </c>
      <c r="D75" t="s">
        <v>21</v>
      </c>
      <c r="E75" t="s">
        <v>22</v>
      </c>
      <c r="F75" s="1">
        <v>2.8477</v>
      </c>
      <c r="G75" s="1">
        <v>0.2193</v>
      </c>
      <c r="H75">
        <v>1.108</v>
      </c>
      <c r="I75" s="1">
        <v>0.2445</v>
      </c>
      <c r="J75">
        <v>0.579</v>
      </c>
      <c r="K75">
        <v>2</v>
      </c>
      <c r="L75">
        <v>6</v>
      </c>
      <c r="M75">
        <v>5</v>
      </c>
      <c r="N75">
        <v>7</v>
      </c>
      <c r="O75">
        <v>7</v>
      </c>
      <c r="P75">
        <v>4</v>
      </c>
      <c r="Q75">
        <v>5.6</v>
      </c>
      <c r="R75">
        <v>54.7</v>
      </c>
      <c r="S75" t="s">
        <v>23</v>
      </c>
      <c r="T75" t="s">
        <v>24</v>
      </c>
      <c r="U75">
        <f t="shared" si="2"/>
        <v>11</v>
      </c>
    </row>
    <row r="76" hidden="1" spans="2:21">
      <c r="B76" t="s">
        <v>124</v>
      </c>
      <c r="C76" t="s">
        <v>73</v>
      </c>
      <c r="D76" t="s">
        <v>21</v>
      </c>
      <c r="E76" t="s">
        <v>22</v>
      </c>
      <c r="F76" s="1">
        <v>6.658</v>
      </c>
      <c r="G76" s="1">
        <v>0.3493</v>
      </c>
      <c r="H76">
        <v>1.102</v>
      </c>
      <c r="I76" s="1">
        <v>0.3165</v>
      </c>
      <c r="J76">
        <v>0.575</v>
      </c>
      <c r="K76">
        <v>2</v>
      </c>
      <c r="L76">
        <v>2</v>
      </c>
      <c r="M76">
        <v>8</v>
      </c>
      <c r="N76">
        <v>3</v>
      </c>
      <c r="O76">
        <v>5</v>
      </c>
      <c r="P76">
        <v>4</v>
      </c>
      <c r="Q76">
        <v>3.8</v>
      </c>
      <c r="R76">
        <v>53.8</v>
      </c>
      <c r="S76" t="s">
        <v>23</v>
      </c>
      <c r="T76" t="s">
        <v>24</v>
      </c>
      <c r="U76">
        <f t="shared" si="2"/>
        <v>9</v>
      </c>
    </row>
    <row r="77" hidden="1" spans="2:21">
      <c r="B77" t="s">
        <v>125</v>
      </c>
      <c r="C77" t="s">
        <v>73</v>
      </c>
      <c r="D77" t="s">
        <v>21</v>
      </c>
      <c r="E77" t="s">
        <v>22</v>
      </c>
      <c r="F77" s="1">
        <v>5.7384</v>
      </c>
      <c r="G77" s="1">
        <v>0.3241</v>
      </c>
      <c r="H77">
        <v>1.098</v>
      </c>
      <c r="I77" s="1">
        <v>0.3065</v>
      </c>
      <c r="J77">
        <v>0.53</v>
      </c>
      <c r="K77">
        <v>2</v>
      </c>
      <c r="L77">
        <v>4</v>
      </c>
      <c r="M77">
        <v>8</v>
      </c>
      <c r="N77">
        <v>3</v>
      </c>
      <c r="O77">
        <v>4</v>
      </c>
      <c r="P77">
        <v>5</v>
      </c>
      <c r="Q77">
        <v>4.1</v>
      </c>
      <c r="R77">
        <v>50.7</v>
      </c>
      <c r="S77" t="s">
        <v>23</v>
      </c>
      <c r="T77" t="s">
        <v>24</v>
      </c>
      <c r="U77">
        <f t="shared" si="2"/>
        <v>9</v>
      </c>
    </row>
    <row r="78" hidden="1" spans="2:21">
      <c r="B78" t="s">
        <v>126</v>
      </c>
      <c r="C78" t="s">
        <v>73</v>
      </c>
      <c r="D78" t="s">
        <v>21</v>
      </c>
      <c r="E78" t="s">
        <v>22</v>
      </c>
      <c r="F78" s="1">
        <v>1.2046</v>
      </c>
      <c r="G78" s="1">
        <v>0.1234</v>
      </c>
      <c r="H78">
        <v>1.091</v>
      </c>
      <c r="I78" s="1">
        <v>0.1001</v>
      </c>
      <c r="J78">
        <v>0.546</v>
      </c>
      <c r="K78">
        <v>2</v>
      </c>
      <c r="L78">
        <v>4</v>
      </c>
      <c r="M78">
        <v>7</v>
      </c>
      <c r="N78">
        <v>2</v>
      </c>
      <c r="O78">
        <v>5</v>
      </c>
      <c r="P78">
        <v>4</v>
      </c>
      <c r="Q78">
        <v>3.5</v>
      </c>
      <c r="R78">
        <v>44.9</v>
      </c>
      <c r="S78" t="s">
        <v>23</v>
      </c>
      <c r="T78" t="s">
        <v>24</v>
      </c>
      <c r="U78">
        <f t="shared" si="2"/>
        <v>9</v>
      </c>
    </row>
    <row r="79" spans="2:21">
      <c r="B79" t="s">
        <v>127</v>
      </c>
      <c r="C79" t="s">
        <v>39</v>
      </c>
      <c r="D79" t="s">
        <v>21</v>
      </c>
      <c r="E79" t="s">
        <v>22</v>
      </c>
      <c r="F79" s="1">
        <v>5.6473</v>
      </c>
      <c r="G79" s="1">
        <v>0.3214</v>
      </c>
      <c r="H79">
        <v>1.07</v>
      </c>
      <c r="I79" s="1">
        <v>0.3008</v>
      </c>
      <c r="J79">
        <v>0.615</v>
      </c>
      <c r="K79">
        <v>2</v>
      </c>
      <c r="L79">
        <v>6</v>
      </c>
      <c r="M79">
        <v>6</v>
      </c>
      <c r="N79">
        <v>6</v>
      </c>
      <c r="O79">
        <v>5</v>
      </c>
      <c r="P79">
        <v>5</v>
      </c>
      <c r="Q79">
        <v>5.4</v>
      </c>
      <c r="R79">
        <v>55</v>
      </c>
      <c r="S79" t="s">
        <v>23</v>
      </c>
      <c r="T79" t="s">
        <v>24</v>
      </c>
      <c r="U79">
        <f t="shared" si="2"/>
        <v>10</v>
      </c>
    </row>
    <row r="80" hidden="1" spans="2:21">
      <c r="B80" t="s">
        <v>128</v>
      </c>
      <c r="C80" t="s">
        <v>39</v>
      </c>
      <c r="D80" t="s">
        <v>21</v>
      </c>
      <c r="E80" t="s">
        <v>22</v>
      </c>
      <c r="F80" s="1">
        <v>5.7458</v>
      </c>
      <c r="G80" s="1">
        <v>0.3243</v>
      </c>
      <c r="H80">
        <v>1.052</v>
      </c>
      <c r="I80" s="1">
        <v>0.3052</v>
      </c>
      <c r="J80">
        <v>0.537</v>
      </c>
      <c r="K80">
        <v>3</v>
      </c>
      <c r="L80">
        <v>3</v>
      </c>
      <c r="M80">
        <v>2</v>
      </c>
      <c r="N80">
        <v>6</v>
      </c>
      <c r="O80">
        <v>3</v>
      </c>
      <c r="P80">
        <v>5</v>
      </c>
      <c r="Q80">
        <v>5</v>
      </c>
      <c r="R80">
        <v>66.2</v>
      </c>
      <c r="S80" t="s">
        <v>23</v>
      </c>
      <c r="T80" t="s">
        <v>24</v>
      </c>
      <c r="U80">
        <f t="shared" si="2"/>
        <v>8</v>
      </c>
    </row>
    <row r="81" hidden="1" spans="2:21">
      <c r="B81" t="s">
        <v>129</v>
      </c>
      <c r="C81" t="s">
        <v>73</v>
      </c>
      <c r="D81" t="s">
        <v>21</v>
      </c>
      <c r="E81" t="s">
        <v>22</v>
      </c>
      <c r="F81" s="1">
        <v>4.4551</v>
      </c>
      <c r="G81" s="1">
        <v>0.2836</v>
      </c>
      <c r="H81">
        <v>1.036</v>
      </c>
      <c r="I81" s="1">
        <v>0.4105</v>
      </c>
      <c r="J81">
        <v>0.457</v>
      </c>
      <c r="K81">
        <v>2</v>
      </c>
      <c r="L81">
        <v>3</v>
      </c>
      <c r="M81">
        <v>9</v>
      </c>
      <c r="N81">
        <v>2</v>
      </c>
      <c r="O81">
        <v>4</v>
      </c>
      <c r="P81">
        <v>5</v>
      </c>
      <c r="Q81">
        <v>3.7</v>
      </c>
      <c r="R81">
        <v>49.8</v>
      </c>
      <c r="S81" t="s">
        <v>23</v>
      </c>
      <c r="T81" t="s">
        <v>24</v>
      </c>
      <c r="U81">
        <f t="shared" si="2"/>
        <v>9</v>
      </c>
    </row>
    <row r="82" spans="2:21">
      <c r="B82" t="s">
        <v>130</v>
      </c>
      <c r="C82" t="s">
        <v>20</v>
      </c>
      <c r="D82" t="s">
        <v>21</v>
      </c>
      <c r="E82" t="s">
        <v>22</v>
      </c>
      <c r="F82" s="1">
        <v>7.6595</v>
      </c>
      <c r="G82" s="1">
        <v>0.3739</v>
      </c>
      <c r="H82">
        <v>1.03</v>
      </c>
      <c r="I82" s="1">
        <v>0.425</v>
      </c>
      <c r="J82">
        <v>0.724</v>
      </c>
      <c r="K82">
        <v>2</v>
      </c>
      <c r="L82">
        <v>7</v>
      </c>
      <c r="M82">
        <v>4</v>
      </c>
      <c r="N82">
        <v>8</v>
      </c>
      <c r="O82">
        <v>5</v>
      </c>
      <c r="P82">
        <v>5</v>
      </c>
      <c r="Q82">
        <v>6.1</v>
      </c>
      <c r="R82">
        <v>55.1</v>
      </c>
      <c r="S82" t="s">
        <v>23</v>
      </c>
      <c r="T82" t="s">
        <v>24</v>
      </c>
      <c r="U82">
        <f t="shared" si="2"/>
        <v>10</v>
      </c>
    </row>
    <row r="83" hidden="1" spans="2:21">
      <c r="B83" t="s">
        <v>131</v>
      </c>
      <c r="C83" t="s">
        <v>132</v>
      </c>
      <c r="D83" t="s">
        <v>21</v>
      </c>
      <c r="E83" t="s">
        <v>22</v>
      </c>
      <c r="F83" s="1">
        <v>0.6356</v>
      </c>
      <c r="G83" s="1">
        <v>0.0751</v>
      </c>
      <c r="H83">
        <v>1.027</v>
      </c>
      <c r="I83" s="1">
        <v>0.0354</v>
      </c>
      <c r="J83">
        <v>1</v>
      </c>
      <c r="K83">
        <v>1</v>
      </c>
      <c r="L83">
        <v>2</v>
      </c>
      <c r="M83">
        <v>2</v>
      </c>
      <c r="N83">
        <v>2</v>
      </c>
      <c r="O83">
        <v>1</v>
      </c>
      <c r="P83">
        <v>6</v>
      </c>
      <c r="Q83">
        <v>3.6</v>
      </c>
      <c r="R83">
        <v>60.5</v>
      </c>
      <c r="S83" t="s">
        <v>23</v>
      </c>
      <c r="T83" t="s">
        <v>24</v>
      </c>
      <c r="U83">
        <f t="shared" si="2"/>
        <v>7</v>
      </c>
    </row>
    <row r="84" hidden="1" spans="2:21">
      <c r="B84" t="s">
        <v>133</v>
      </c>
      <c r="C84" t="s">
        <v>20</v>
      </c>
      <c r="D84" t="s">
        <v>21</v>
      </c>
      <c r="E84" t="s">
        <v>22</v>
      </c>
      <c r="F84" s="1">
        <v>7.6753</v>
      </c>
      <c r="G84" s="1">
        <v>0.3742</v>
      </c>
      <c r="H84">
        <v>1.005</v>
      </c>
      <c r="I84" s="1">
        <v>0.4601</v>
      </c>
      <c r="J84">
        <v>0.636</v>
      </c>
      <c r="K84">
        <v>2</v>
      </c>
      <c r="L84">
        <v>7</v>
      </c>
      <c r="M84">
        <v>5</v>
      </c>
      <c r="N84">
        <v>7</v>
      </c>
      <c r="O84">
        <v>4</v>
      </c>
      <c r="P84">
        <v>4</v>
      </c>
      <c r="Q84">
        <v>5.1</v>
      </c>
      <c r="R84">
        <v>50.9</v>
      </c>
      <c r="S84" t="s">
        <v>23</v>
      </c>
      <c r="T84" t="s">
        <v>24</v>
      </c>
      <c r="U84">
        <f t="shared" si="2"/>
        <v>8</v>
      </c>
    </row>
    <row r="85" spans="2:21">
      <c r="B85" t="s">
        <v>134</v>
      </c>
      <c r="C85" t="s">
        <v>135</v>
      </c>
      <c r="D85" t="s">
        <v>21</v>
      </c>
      <c r="E85" t="s">
        <v>22</v>
      </c>
      <c r="F85" s="1">
        <v>0.2025</v>
      </c>
      <c r="G85" s="1">
        <v>0.3713</v>
      </c>
      <c r="H85">
        <v>0.976</v>
      </c>
      <c r="I85" s="1">
        <v>0.1404</v>
      </c>
      <c r="J85">
        <v>0.405</v>
      </c>
      <c r="K85">
        <v>2</v>
      </c>
      <c r="L85">
        <v>7</v>
      </c>
      <c r="M85">
        <v>5</v>
      </c>
      <c r="N85">
        <v>8</v>
      </c>
      <c r="O85">
        <v>7</v>
      </c>
      <c r="P85">
        <v>4</v>
      </c>
      <c r="Q85">
        <v>6</v>
      </c>
      <c r="R85">
        <v>51.9</v>
      </c>
      <c r="S85" t="s">
        <v>23</v>
      </c>
      <c r="T85" t="s">
        <v>24</v>
      </c>
      <c r="U85">
        <f t="shared" ref="U85:U102" si="3">O85+P85</f>
        <v>11</v>
      </c>
    </row>
    <row r="86" spans="2:21">
      <c r="B86" t="s">
        <v>136</v>
      </c>
      <c r="C86" t="s">
        <v>20</v>
      </c>
      <c r="D86" t="s">
        <v>21</v>
      </c>
      <c r="E86" t="s">
        <v>22</v>
      </c>
      <c r="F86" s="1">
        <v>5.0036</v>
      </c>
      <c r="G86" s="1">
        <v>0.3018</v>
      </c>
      <c r="H86">
        <v>0.973</v>
      </c>
      <c r="I86" s="1">
        <v>0.4336</v>
      </c>
      <c r="J86">
        <v>0.682</v>
      </c>
      <c r="K86">
        <v>2</v>
      </c>
      <c r="L86">
        <v>7</v>
      </c>
      <c r="M86">
        <v>4</v>
      </c>
      <c r="N86">
        <v>8</v>
      </c>
      <c r="O86">
        <v>6</v>
      </c>
      <c r="P86">
        <v>4</v>
      </c>
      <c r="Q86">
        <v>5.8</v>
      </c>
      <c r="R86">
        <v>55.6</v>
      </c>
      <c r="S86" t="s">
        <v>23</v>
      </c>
      <c r="T86" t="s">
        <v>24</v>
      </c>
      <c r="U86">
        <f t="shared" si="3"/>
        <v>10</v>
      </c>
    </row>
    <row r="87" hidden="1" spans="2:21">
      <c r="B87" t="s">
        <v>137</v>
      </c>
      <c r="C87" t="s">
        <v>58</v>
      </c>
      <c r="D87" t="s">
        <v>21</v>
      </c>
      <c r="E87" t="s">
        <v>22</v>
      </c>
      <c r="F87" s="1">
        <v>7.383</v>
      </c>
      <c r="G87" s="1">
        <v>0.3673</v>
      </c>
      <c r="H87">
        <v>0.966</v>
      </c>
      <c r="I87" s="1">
        <v>0.4374</v>
      </c>
      <c r="J87">
        <v>0.624</v>
      </c>
      <c r="K87">
        <v>3</v>
      </c>
      <c r="L87">
        <v>6</v>
      </c>
      <c r="M87">
        <v>6</v>
      </c>
      <c r="N87">
        <v>7</v>
      </c>
      <c r="O87">
        <v>4</v>
      </c>
      <c r="P87">
        <v>5</v>
      </c>
      <c r="Q87">
        <v>5.5</v>
      </c>
      <c r="R87">
        <v>55</v>
      </c>
      <c r="S87" t="s">
        <v>23</v>
      </c>
      <c r="T87" t="s">
        <v>24</v>
      </c>
      <c r="U87">
        <f t="shared" si="3"/>
        <v>9</v>
      </c>
    </row>
    <row r="88" hidden="1" spans="2:21">
      <c r="B88" t="s">
        <v>138</v>
      </c>
      <c r="C88" t="s">
        <v>139</v>
      </c>
      <c r="D88" t="s">
        <v>21</v>
      </c>
      <c r="E88" t="s">
        <v>22</v>
      </c>
      <c r="F88" s="1">
        <v>0.5991</v>
      </c>
      <c r="G88" s="1">
        <v>0.0715</v>
      </c>
      <c r="H88">
        <v>0.957</v>
      </c>
      <c r="I88" s="1">
        <v>0.039</v>
      </c>
      <c r="J88">
        <v>1</v>
      </c>
      <c r="K88">
        <v>2</v>
      </c>
      <c r="L88">
        <v>4</v>
      </c>
      <c r="M88">
        <v>3</v>
      </c>
      <c r="N88">
        <v>4</v>
      </c>
      <c r="O88">
        <v>2</v>
      </c>
      <c r="P88">
        <v>6</v>
      </c>
      <c r="Q88">
        <v>4.5</v>
      </c>
      <c r="R88">
        <v>59.7</v>
      </c>
      <c r="S88" t="s">
        <v>23</v>
      </c>
      <c r="T88" t="s">
        <v>24</v>
      </c>
      <c r="U88">
        <f t="shared" si="3"/>
        <v>8</v>
      </c>
    </row>
    <row r="89" spans="2:21">
      <c r="B89" t="s">
        <v>140</v>
      </c>
      <c r="C89" t="s">
        <v>73</v>
      </c>
      <c r="D89" t="s">
        <v>21</v>
      </c>
      <c r="E89" t="s">
        <v>22</v>
      </c>
      <c r="F89" s="1">
        <v>4.0043</v>
      </c>
      <c r="G89" s="1">
        <v>0.2674</v>
      </c>
      <c r="H89">
        <v>0.942</v>
      </c>
      <c r="I89" s="1">
        <v>0.2566</v>
      </c>
      <c r="J89">
        <v>0.458</v>
      </c>
      <c r="K89">
        <v>2</v>
      </c>
      <c r="L89">
        <v>4</v>
      </c>
      <c r="M89">
        <v>6</v>
      </c>
      <c r="N89">
        <v>5</v>
      </c>
      <c r="O89">
        <v>5</v>
      </c>
      <c r="P89">
        <v>5</v>
      </c>
      <c r="Q89">
        <v>5</v>
      </c>
      <c r="R89">
        <v>55.6</v>
      </c>
      <c r="S89" t="s">
        <v>23</v>
      </c>
      <c r="T89" t="s">
        <v>24</v>
      </c>
      <c r="U89">
        <f t="shared" si="3"/>
        <v>10</v>
      </c>
    </row>
    <row r="90" hidden="1" spans="2:21">
      <c r="B90" t="s">
        <v>141</v>
      </c>
      <c r="C90" t="s">
        <v>73</v>
      </c>
      <c r="D90" t="s">
        <v>21</v>
      </c>
      <c r="E90" t="s">
        <v>22</v>
      </c>
      <c r="F90" s="1">
        <v>4.0043</v>
      </c>
      <c r="G90" s="1">
        <v>0.2674</v>
      </c>
      <c r="H90">
        <v>0.942</v>
      </c>
      <c r="I90" s="1">
        <v>0.2566</v>
      </c>
      <c r="J90">
        <v>0.458</v>
      </c>
      <c r="K90">
        <v>2</v>
      </c>
      <c r="L90">
        <v>3</v>
      </c>
      <c r="M90">
        <v>8</v>
      </c>
      <c r="N90">
        <v>6</v>
      </c>
      <c r="O90">
        <v>5</v>
      </c>
      <c r="P90">
        <v>4</v>
      </c>
      <c r="Q90">
        <v>4.9</v>
      </c>
      <c r="R90">
        <v>53</v>
      </c>
      <c r="S90" t="s">
        <v>23</v>
      </c>
      <c r="T90" t="s">
        <v>24</v>
      </c>
      <c r="U90">
        <f t="shared" si="3"/>
        <v>9</v>
      </c>
    </row>
    <row r="91" spans="2:21">
      <c r="B91" t="s">
        <v>142</v>
      </c>
      <c r="C91" t="s">
        <v>73</v>
      </c>
      <c r="D91" t="s">
        <v>21</v>
      </c>
      <c r="E91" t="s">
        <v>22</v>
      </c>
      <c r="F91" s="1">
        <v>6.7427</v>
      </c>
      <c r="G91" s="1">
        <v>0.3514</v>
      </c>
      <c r="H91">
        <v>0.941</v>
      </c>
      <c r="I91" s="1">
        <v>0.3375</v>
      </c>
      <c r="J91">
        <v>0.531</v>
      </c>
      <c r="K91">
        <v>2</v>
      </c>
      <c r="L91">
        <v>4</v>
      </c>
      <c r="M91">
        <v>2</v>
      </c>
      <c r="N91">
        <v>3</v>
      </c>
      <c r="O91">
        <v>5</v>
      </c>
      <c r="P91">
        <v>5</v>
      </c>
      <c r="Q91">
        <v>4.3</v>
      </c>
      <c r="R91">
        <v>58.4</v>
      </c>
      <c r="S91" t="s">
        <v>23</v>
      </c>
      <c r="T91" t="s">
        <v>24</v>
      </c>
      <c r="U91">
        <f t="shared" si="3"/>
        <v>10</v>
      </c>
    </row>
    <row r="92" spans="2:21">
      <c r="B92" t="s">
        <v>143</v>
      </c>
      <c r="C92" t="s">
        <v>73</v>
      </c>
      <c r="D92" t="s">
        <v>21</v>
      </c>
      <c r="E92" t="s">
        <v>22</v>
      </c>
      <c r="F92" s="1">
        <v>3.9784</v>
      </c>
      <c r="G92" s="1">
        <v>0.2664</v>
      </c>
      <c r="H92">
        <v>0.941</v>
      </c>
      <c r="I92" s="1">
        <v>0.2566</v>
      </c>
      <c r="J92">
        <v>0.457</v>
      </c>
      <c r="K92">
        <v>3</v>
      </c>
      <c r="L92">
        <v>3</v>
      </c>
      <c r="M92">
        <v>4</v>
      </c>
      <c r="N92">
        <v>4</v>
      </c>
      <c r="O92">
        <v>5</v>
      </c>
      <c r="P92">
        <v>5</v>
      </c>
      <c r="Q92">
        <v>4.6</v>
      </c>
      <c r="R92">
        <v>57.8</v>
      </c>
      <c r="S92" t="s">
        <v>23</v>
      </c>
      <c r="T92" t="s">
        <v>24</v>
      </c>
      <c r="U92">
        <f t="shared" si="3"/>
        <v>10</v>
      </c>
    </row>
    <row r="93" spans="2:21">
      <c r="B93" t="s">
        <v>144</v>
      </c>
      <c r="C93" t="s">
        <v>20</v>
      </c>
      <c r="D93" t="s">
        <v>21</v>
      </c>
      <c r="E93" t="s">
        <v>22</v>
      </c>
      <c r="F93" s="1">
        <v>3.2971</v>
      </c>
      <c r="G93" s="1">
        <v>0.2393</v>
      </c>
      <c r="H93">
        <v>0.912</v>
      </c>
      <c r="I93" s="1">
        <v>0.2567</v>
      </c>
      <c r="J93">
        <v>0.532</v>
      </c>
      <c r="K93">
        <v>2</v>
      </c>
      <c r="L93">
        <v>6</v>
      </c>
      <c r="M93">
        <v>5</v>
      </c>
      <c r="N93">
        <v>7</v>
      </c>
      <c r="O93">
        <v>5</v>
      </c>
      <c r="P93">
        <v>5</v>
      </c>
      <c r="Q93">
        <v>5.7</v>
      </c>
      <c r="R93">
        <v>55.7</v>
      </c>
      <c r="S93" t="s">
        <v>23</v>
      </c>
      <c r="T93" t="s">
        <v>24</v>
      </c>
      <c r="U93">
        <f t="shared" si="3"/>
        <v>10</v>
      </c>
    </row>
    <row r="94" hidden="1" spans="2:21">
      <c r="B94" t="s">
        <v>145</v>
      </c>
      <c r="C94" t="s">
        <v>39</v>
      </c>
      <c r="D94" t="s">
        <v>21</v>
      </c>
      <c r="E94" t="s">
        <v>22</v>
      </c>
      <c r="F94" s="1">
        <v>3.0787</v>
      </c>
      <c r="G94" s="1">
        <v>0.2298</v>
      </c>
      <c r="H94">
        <v>0.864</v>
      </c>
      <c r="I94" s="1">
        <v>0.1949</v>
      </c>
      <c r="J94">
        <v>0.597</v>
      </c>
      <c r="K94">
        <v>2</v>
      </c>
      <c r="L94">
        <v>3</v>
      </c>
      <c r="M94">
        <v>4</v>
      </c>
      <c r="N94">
        <v>4</v>
      </c>
      <c r="O94">
        <v>3</v>
      </c>
      <c r="P94">
        <v>6</v>
      </c>
      <c r="Q94">
        <v>4.7</v>
      </c>
      <c r="R94">
        <v>60.8</v>
      </c>
      <c r="S94" t="s">
        <v>23</v>
      </c>
      <c r="T94" t="s">
        <v>24</v>
      </c>
      <c r="U94">
        <f t="shared" si="3"/>
        <v>9</v>
      </c>
    </row>
    <row r="95" hidden="1" spans="2:21">
      <c r="B95" t="s">
        <v>146</v>
      </c>
      <c r="C95" t="s">
        <v>39</v>
      </c>
      <c r="D95" t="s">
        <v>21</v>
      </c>
      <c r="E95" t="s">
        <v>22</v>
      </c>
      <c r="F95" s="1">
        <v>2.8336</v>
      </c>
      <c r="G95" s="1">
        <v>0.2186</v>
      </c>
      <c r="H95">
        <v>0.863</v>
      </c>
      <c r="I95" s="1">
        <v>0.1858</v>
      </c>
      <c r="J95">
        <v>0.592</v>
      </c>
      <c r="K95">
        <v>2</v>
      </c>
      <c r="L95">
        <v>3</v>
      </c>
      <c r="M95">
        <v>3</v>
      </c>
      <c r="N95">
        <v>3</v>
      </c>
      <c r="O95">
        <v>3</v>
      </c>
      <c r="P95">
        <v>4</v>
      </c>
      <c r="Q95">
        <v>3.5</v>
      </c>
      <c r="R95">
        <v>55.5</v>
      </c>
      <c r="S95" t="s">
        <v>23</v>
      </c>
      <c r="T95" t="s">
        <v>24</v>
      </c>
      <c r="U95">
        <f t="shared" si="3"/>
        <v>7</v>
      </c>
    </row>
    <row r="96" spans="2:21">
      <c r="B96" t="s">
        <v>147</v>
      </c>
      <c r="C96" t="s">
        <v>39</v>
      </c>
      <c r="D96" t="s">
        <v>21</v>
      </c>
      <c r="E96" t="s">
        <v>22</v>
      </c>
      <c r="F96" s="1">
        <v>6.0559</v>
      </c>
      <c r="G96" s="1">
        <v>0.3331</v>
      </c>
      <c r="H96">
        <v>0.839</v>
      </c>
      <c r="I96" s="1">
        <v>0.4605</v>
      </c>
      <c r="J96">
        <v>0.624</v>
      </c>
      <c r="K96">
        <v>3</v>
      </c>
      <c r="L96">
        <v>7</v>
      </c>
      <c r="M96">
        <v>4</v>
      </c>
      <c r="N96">
        <v>8</v>
      </c>
      <c r="O96">
        <v>5</v>
      </c>
      <c r="P96">
        <v>5</v>
      </c>
      <c r="Q96">
        <v>6.1</v>
      </c>
      <c r="R96">
        <v>61.1</v>
      </c>
      <c r="S96" t="s">
        <v>23</v>
      </c>
      <c r="T96" t="s">
        <v>24</v>
      </c>
      <c r="U96">
        <f t="shared" si="3"/>
        <v>10</v>
      </c>
    </row>
    <row r="97" hidden="1" spans="2:21">
      <c r="B97" t="s">
        <v>148</v>
      </c>
      <c r="C97" t="s">
        <v>39</v>
      </c>
      <c r="D97" t="s">
        <v>21</v>
      </c>
      <c r="E97" t="s">
        <v>22</v>
      </c>
      <c r="F97" s="1">
        <v>1.3038</v>
      </c>
      <c r="G97" s="1">
        <v>0.1307</v>
      </c>
      <c r="H97">
        <v>0.826</v>
      </c>
      <c r="I97" s="1">
        <v>0.1171</v>
      </c>
      <c r="J97">
        <v>0.636</v>
      </c>
      <c r="K97">
        <v>2</v>
      </c>
      <c r="L97">
        <v>5</v>
      </c>
      <c r="M97">
        <v>4</v>
      </c>
      <c r="N97">
        <v>4</v>
      </c>
      <c r="O97">
        <v>3</v>
      </c>
      <c r="P97">
        <v>5</v>
      </c>
      <c r="Q97">
        <v>4.3</v>
      </c>
      <c r="R97">
        <v>54.2</v>
      </c>
      <c r="S97" t="s">
        <v>23</v>
      </c>
      <c r="T97" t="s">
        <v>24</v>
      </c>
      <c r="U97">
        <f t="shared" si="3"/>
        <v>8</v>
      </c>
    </row>
    <row r="98" spans="2:21">
      <c r="B98" t="s">
        <v>149</v>
      </c>
      <c r="C98" t="s">
        <v>39</v>
      </c>
      <c r="D98" t="s">
        <v>21</v>
      </c>
      <c r="E98" t="s">
        <v>22</v>
      </c>
      <c r="F98" s="1">
        <v>2.3316</v>
      </c>
      <c r="G98" s="1">
        <v>0.1937</v>
      </c>
      <c r="H98">
        <v>0.814</v>
      </c>
      <c r="I98" s="1">
        <v>0.2221</v>
      </c>
      <c r="J98">
        <v>0.564</v>
      </c>
      <c r="K98">
        <v>2</v>
      </c>
      <c r="L98">
        <v>3</v>
      </c>
      <c r="M98">
        <v>8</v>
      </c>
      <c r="N98">
        <v>3</v>
      </c>
      <c r="O98">
        <v>4</v>
      </c>
      <c r="P98">
        <v>6</v>
      </c>
      <c r="Q98">
        <v>4.5</v>
      </c>
      <c r="R98">
        <v>55.5</v>
      </c>
      <c r="S98" t="s">
        <v>23</v>
      </c>
      <c r="T98" t="s">
        <v>24</v>
      </c>
      <c r="U98">
        <f t="shared" si="3"/>
        <v>10</v>
      </c>
    </row>
    <row r="99" hidden="1" spans="2:21">
      <c r="B99" t="s">
        <v>150</v>
      </c>
      <c r="C99" t="s">
        <v>39</v>
      </c>
      <c r="D99" t="s">
        <v>21</v>
      </c>
      <c r="E99" t="s">
        <v>22</v>
      </c>
      <c r="F99" s="1">
        <v>2.3316</v>
      </c>
      <c r="G99" s="1">
        <v>0.1937</v>
      </c>
      <c r="H99">
        <v>0.814</v>
      </c>
      <c r="I99" s="1">
        <v>0.2221</v>
      </c>
      <c r="J99">
        <v>0.564</v>
      </c>
      <c r="K99">
        <v>2</v>
      </c>
      <c r="L99">
        <v>3</v>
      </c>
      <c r="M99">
        <v>5</v>
      </c>
      <c r="N99">
        <v>7</v>
      </c>
      <c r="O99">
        <v>4</v>
      </c>
      <c r="P99">
        <v>5</v>
      </c>
      <c r="Q99">
        <v>5.5</v>
      </c>
      <c r="R99">
        <v>63.6</v>
      </c>
      <c r="S99" t="s">
        <v>23</v>
      </c>
      <c r="T99" t="s">
        <v>24</v>
      </c>
      <c r="U99">
        <f t="shared" si="3"/>
        <v>9</v>
      </c>
    </row>
    <row r="100" spans="2:21">
      <c r="B100" t="s">
        <v>151</v>
      </c>
      <c r="C100" t="s">
        <v>152</v>
      </c>
      <c r="D100" t="s">
        <v>21</v>
      </c>
      <c r="E100" t="s">
        <v>22</v>
      </c>
      <c r="F100" s="1">
        <v>3.0098</v>
      </c>
      <c r="G100" s="1">
        <v>0.2267</v>
      </c>
      <c r="H100">
        <v>0.814</v>
      </c>
      <c r="I100" s="1">
        <v>0.2969</v>
      </c>
      <c r="J100">
        <v>0.548</v>
      </c>
      <c r="K100">
        <v>2</v>
      </c>
      <c r="L100">
        <v>4</v>
      </c>
      <c r="M100">
        <v>6</v>
      </c>
      <c r="N100">
        <v>6</v>
      </c>
      <c r="O100">
        <v>5</v>
      </c>
      <c r="P100">
        <v>5</v>
      </c>
      <c r="Q100">
        <v>5.4</v>
      </c>
      <c r="R100">
        <v>58.1</v>
      </c>
      <c r="S100" t="s">
        <v>23</v>
      </c>
      <c r="T100" t="s">
        <v>24</v>
      </c>
      <c r="U100">
        <f t="shared" si="3"/>
        <v>10</v>
      </c>
    </row>
    <row r="101" hidden="1" spans="2:21">
      <c r="B101" t="s">
        <v>153</v>
      </c>
      <c r="C101" t="s">
        <v>154</v>
      </c>
      <c r="D101" t="s">
        <v>21</v>
      </c>
      <c r="E101" t="s">
        <v>22</v>
      </c>
      <c r="F101" s="1">
        <v>1.7779</v>
      </c>
      <c r="G101" s="1">
        <v>0.1622</v>
      </c>
      <c r="H101">
        <v>0.802</v>
      </c>
      <c r="I101" s="1">
        <v>0.2963</v>
      </c>
      <c r="J101">
        <v>0.478</v>
      </c>
      <c r="K101">
        <v>2</v>
      </c>
      <c r="L101">
        <v>2</v>
      </c>
      <c r="M101">
        <v>2</v>
      </c>
      <c r="N101">
        <v>2</v>
      </c>
      <c r="O101">
        <v>5</v>
      </c>
      <c r="P101">
        <v>4</v>
      </c>
      <c r="Q101">
        <v>3.5</v>
      </c>
      <c r="R101">
        <v>59.5</v>
      </c>
      <c r="S101" t="s">
        <v>23</v>
      </c>
      <c r="T101" t="s">
        <v>24</v>
      </c>
      <c r="U101">
        <f t="shared" si="3"/>
        <v>9</v>
      </c>
    </row>
    <row r="102" spans="2:21">
      <c r="B102" t="s">
        <v>155</v>
      </c>
      <c r="C102" t="s">
        <v>73</v>
      </c>
      <c r="D102" t="s">
        <v>21</v>
      </c>
      <c r="E102" t="s">
        <v>22</v>
      </c>
      <c r="F102" s="1">
        <v>5.3512</v>
      </c>
      <c r="G102" s="1">
        <v>0.3126</v>
      </c>
      <c r="H102">
        <v>0.779</v>
      </c>
      <c r="I102" s="1">
        <v>0.3516</v>
      </c>
      <c r="J102">
        <v>0.515</v>
      </c>
      <c r="K102">
        <v>2</v>
      </c>
      <c r="L102">
        <v>3</v>
      </c>
      <c r="M102">
        <v>8</v>
      </c>
      <c r="N102">
        <v>4</v>
      </c>
      <c r="O102">
        <v>5</v>
      </c>
      <c r="P102">
        <v>5</v>
      </c>
      <c r="Q102">
        <v>4.6</v>
      </c>
      <c r="R102">
        <v>54</v>
      </c>
      <c r="S102" t="s">
        <v>23</v>
      </c>
      <c r="T102" t="s">
        <v>24</v>
      </c>
      <c r="U102">
        <f t="shared" si="3"/>
        <v>10</v>
      </c>
    </row>
  </sheetData>
  <autoFilter xmlns:etc="http://www.wps.cn/officeDocument/2017/etCustomData" ref="U1:U102" etc:filterBottomFollowUsedRange="0">
    <filterColumn colId="0">
      <filters blank="1">
        <filter val="10"/>
        <filter val="1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tonyt</dc:creator>
  <cp:lastModifiedBy>WPS_1602468727</cp:lastModifiedBy>
  <dcterms:created xsi:type="dcterms:W3CDTF">2026-01-31T08:45:30Z</dcterms:created>
  <dcterms:modified xsi:type="dcterms:W3CDTF">2026-01-31T10:10:54Z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67508C7B7C9D472897FCEEE84EE68C12_11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